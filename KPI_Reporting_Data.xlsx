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7365" activeTab="3"/>
  </bookViews>
  <sheets>
    <sheet name="SalesData" sheetId="1" r:id="rId1"/>
    <sheet name="Problems" sheetId="2" r:id="rId2"/>
    <sheet name="Sheet2" sheetId="3" r:id="rId3"/>
    <sheet name="Deshboard" sheetId="5" r:id="rId4"/>
  </sheets>
  <definedNames>
    <definedName name="Slicer_Category">#N/A</definedName>
    <definedName name="Slicer_CustomerType">#N/A</definedName>
    <definedName name="Slicer_OrderDate">#N/A</definedName>
    <definedName name="Slicer_Region">#N/A</definedName>
    <definedName name="Slicer_Salesperson">#N/A</definedName>
  </definedNames>
  <calcPr calcId="144525"/>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1" i="3" l="1"/>
  <c r="H29" i="3"/>
  <c r="H27" i="3"/>
  <c r="C508" i="3"/>
  <c r="H14" i="3" s="1"/>
  <c r="D508" i="3"/>
  <c r="H18" i="3" s="1"/>
  <c r="E508" i="3"/>
  <c r="H20" i="3" s="1"/>
  <c r="B508" i="3"/>
  <c r="H10" i="3" s="1"/>
  <c r="A508" i="3"/>
  <c r="H12" i="3"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H16" i="3" l="1"/>
</calcChain>
</file>

<file path=xl/sharedStrings.xml><?xml version="1.0" encoding="utf-8"?>
<sst xmlns="http://schemas.openxmlformats.org/spreadsheetml/2006/main" count="2879" uniqueCount="238">
  <si>
    <t>OrderID</t>
  </si>
  <si>
    <t>OrderDate</t>
  </si>
  <si>
    <t>Region</t>
  </si>
  <si>
    <t>Category</t>
  </si>
  <si>
    <t>Product</t>
  </si>
  <si>
    <t>Salesperson</t>
  </si>
  <si>
    <t>Quantity</t>
  </si>
  <si>
    <t>UnitPrice</t>
  </si>
  <si>
    <t>Sales</t>
  </si>
  <si>
    <t>TargetSales</t>
  </si>
  <si>
    <t>CustomerType</t>
  </si>
  <si>
    <t>South</t>
  </si>
  <si>
    <t>Electronics</t>
  </si>
  <si>
    <t>Laptop</t>
  </si>
  <si>
    <t>Sara</t>
  </si>
  <si>
    <t>Wholesale</t>
  </si>
  <si>
    <t>East</t>
  </si>
  <si>
    <t>Furniture</t>
  </si>
  <si>
    <t>Desk</t>
  </si>
  <si>
    <t>Usman</t>
  </si>
  <si>
    <t>Retail</t>
  </si>
  <si>
    <t>Monitor</t>
  </si>
  <si>
    <t>Ahmed</t>
  </si>
  <si>
    <t>Office Supplies</t>
  </si>
  <si>
    <t>Stapler</t>
  </si>
  <si>
    <t>North</t>
  </si>
  <si>
    <t>Paper</t>
  </si>
  <si>
    <t>Chair</t>
  </si>
  <si>
    <t>West</t>
  </si>
  <si>
    <t>Ali</t>
  </si>
  <si>
    <t>Cabinet</t>
  </si>
  <si>
    <t>Ayesha</t>
  </si>
  <si>
    <t>Fatima</t>
  </si>
  <si>
    <t>Keyboard</t>
  </si>
  <si>
    <t>Mouse</t>
  </si>
  <si>
    <t>Pen</t>
  </si>
  <si>
    <t>Customer Type</t>
  </si>
  <si>
    <t>Excel KPI Reporting Practice Questions</t>
  </si>
  <si>
    <t>Create a professional KPI Dashboard that answers the following business questions.</t>
  </si>
  <si>
    <t>KPI Cards</t>
  </si>
  <si>
    <t>1. Total Sales</t>
  </si>
  <si>
    <t>2. Total Orders</t>
  </si>
  <si>
    <t>3. Total Quantity Sold</t>
  </si>
  <si>
    <t>4. Average Order Value</t>
  </si>
  <si>
    <t>5. Total Target Sales</t>
  </si>
  <si>
    <t>6. Sales Achievement %</t>
  </si>
  <si>
    <t>Formula:</t>
  </si>
  <si>
    <t>Total Sales / Total Target Sales</t>
  </si>
  <si>
    <t>7. Best Performing Region</t>
  </si>
  <si>
    <t>8. Best Performing Category</t>
  </si>
  <si>
    <t>9. Best Selling Product</t>
  </si>
  <si>
    <t>10. Best Salesperson</t>
  </si>
  <si>
    <t>Trend Analysis</t>
  </si>
  <si>
    <t>Create charts for:</t>
  </si>
  <si>
    <t>Monthly Sales Trend</t>
  </si>
  <si>
    <t>Monthly Target vs Actual Sales</t>
  </si>
  <si>
    <t>Quarterly Sales Trend</t>
  </si>
  <si>
    <t>Monthly Quantity Sold</t>
  </si>
  <si>
    <t>Region Analysis</t>
  </si>
  <si>
    <t>Create:</t>
  </si>
  <si>
    <t>Sales by Region</t>
  </si>
  <si>
    <t>Orders by Region</t>
  </si>
  <si>
    <t>Quantity by Region</t>
  </si>
  <si>
    <t>Region Contribution %</t>
  </si>
  <si>
    <t>Category Analysis</t>
  </si>
  <si>
    <t>Sales by Category</t>
  </si>
  <si>
    <t>Quantity by Category</t>
  </si>
  <si>
    <t>Category Contribution %</t>
  </si>
  <si>
    <t>Best Product in Each Category</t>
  </si>
  <si>
    <t>Product Analysis</t>
  </si>
  <si>
    <t>Top 10 Products by Sales</t>
  </si>
  <si>
    <t>Bottom 10 Products by Sales</t>
  </si>
  <si>
    <t>Product-wise Quantity</t>
  </si>
  <si>
    <t>Product-wise Target vs Actual</t>
  </si>
  <si>
    <t>Salesperson Analysis</t>
  </si>
  <si>
    <t>Sales by Salesperson</t>
  </si>
  <si>
    <t>Target Achievement by Salesperson</t>
  </si>
  <si>
    <t>Top Performer</t>
  </si>
  <si>
    <t>Lowest Performer</t>
  </si>
  <si>
    <t>Customer Analysis</t>
  </si>
  <si>
    <t>Sales by Customer Type</t>
  </si>
  <si>
    <t>Orders by Customer Type</t>
  </si>
  <si>
    <t>Average Order Value by Customer Type</t>
  </si>
  <si>
    <t>Dashboard Filters (Slicers)</t>
  </si>
  <si>
    <t>Add slicers for:</t>
  </si>
  <si>
    <t>Year</t>
  </si>
  <si>
    <t>Month</t>
  </si>
  <si>
    <t>Dashboard Requirements</t>
  </si>
  <si>
    <t>Your dashboard should include:</t>
  </si>
  <si>
    <t>Line Chart</t>
  </si>
  <si>
    <t>Column Chart</t>
  </si>
  <si>
    <t>Bar Chart</t>
  </si>
  <si>
    <t>Donut/Pie Chart</t>
  </si>
  <si>
    <t>Map (optional)</t>
  </si>
  <si>
    <t>Slicers</t>
  </si>
  <si>
    <t>Timeline</t>
  </si>
  <si>
    <t>Professional color theme</t>
  </si>
  <si>
    <t>Dynamic titles</t>
  </si>
  <si>
    <t>Advanced KPI Questions (LinkedIn Portfolio)</t>
  </si>
  <si>
    <t>1. Which region generated the highest revenue?</t>
  </si>
  <si>
    <t>2. Which salesperson exceeded the sales target the most?</t>
  </si>
  <si>
    <t>3. Which category contributed the highest percentage of total sales?</t>
  </si>
  <si>
    <t>4. Which product generated the highest revenue?</t>
  </si>
  <si>
    <t>5. Which month had the highest sales?</t>
  </si>
  <si>
    <t>6. Which quarter performed the best?</t>
  </si>
  <si>
    <t>7. Which customer type generated the most sales?</t>
  </si>
  <si>
    <t>8. What is the overall Sales Achievement (%)?</t>
  </si>
  <si>
    <t>9. Which products are underperforming against target?</t>
  </si>
  <si>
    <t>10. Which region requires improvement?</t>
  </si>
  <si>
    <t>Skills You'll Demonstrate on LinkedIn</t>
  </si>
  <si>
    <t>Excel Dashboard Design</t>
  </si>
  <si>
    <t>KPI Reporting</t>
  </si>
  <si>
    <t>Pivot Tables</t>
  </si>
  <si>
    <t>Pivot Charts</t>
  </si>
  <si>
    <t>Slicers &amp; Timeline</t>
  </si>
  <si>
    <t>GETPIVOTDATA</t>
  </si>
  <si>
    <t>SUMIFS</t>
  </si>
  <si>
    <t>COUNTIFS</t>
  </si>
  <si>
    <t>XLOOKUP</t>
  </si>
  <si>
    <t>INDEX-MATCH</t>
  </si>
  <si>
    <t>Conditional Formatting</t>
  </si>
  <si>
    <t>Dynamic Charts</t>
  </si>
  <si>
    <t>Business Analytics</t>
  </si>
  <si>
    <t>Data Visualization</t>
  </si>
  <si>
    <r>
      <t xml:space="preserve">This project is well-suited for a LinkedIn portfolio because it demonstrates practical Excel reporting and dashboard design skills commonly expected in business analyst, MIS, and data analyst roles. If you'd like a more realistic challenge, I can also generate a </t>
    </r>
    <r>
      <rPr>
        <b/>
        <sz val="11"/>
        <color theme="1"/>
        <rFont val="Calibri"/>
        <family val="2"/>
        <scheme val="minor"/>
      </rPr>
      <t>5,000-row corporate sales dataset</t>
    </r>
    <r>
      <rPr>
        <sz val="11"/>
        <color theme="1"/>
        <rFont val="Calibri"/>
        <family val="2"/>
        <scheme val="minor"/>
      </rPr>
      <t xml:space="preserve"> with returns, discounts, profit, and multiple years of data, which is closer to what companies use for KPI reporting.</t>
    </r>
  </si>
  <si>
    <t>Below is a professional KPI dashboard layout that you can use as a reference while building your own Excel dashboard.</t>
  </si>
  <si>
    <t>Sample Excel KPI Dashboard</t>
  </si>
  <si>
    <t>+--------------------------------------------------------------------------------------+</t>
  </si>
  <si>
    <t>|                        SALES KPI DASHBOARD - 2025                                    |</t>
  </si>
  <si>
    <t>┌─────────────┐ ┌─────────────┐ ┌─────────────┐ ┌─────────────┐ ┌─────────────┐</t>
  </si>
  <si>
    <t>| Total Sales | | Total Orders| | Total Qty   | | Avg Order   | | Achievement |</t>
  </si>
  <si>
    <t>| $1,245,890  | |    5,420    | |   18,350    | |   $230      | |    97.8%    |</t>
  </si>
  <si>
    <t>└─────────────┘ └─────────────┘ └─────────────┘ └─────────────┘ └─────────────┘</t>
  </si>
  <si>
    <t>Slicers:</t>
  </si>
  <si>
    <t>[ Year ] [ Month ] [ Region ] [ Category ] [ Salesperson ] [ Customer Type ]</t>
  </si>
  <si>
    <t>----------------------------------------------------------------------------------------</t>
  </si>
  <si>
    <t>Monthly Sales Trend                 Sales vs Target</t>
  </si>
  <si>
    <t>(Line Chart)                        (Clustered Column Chart)</t>
  </si>
  <si>
    <t>Jan ███                             Target ████</t>
  </si>
  <si>
    <t>Feb █████                           Actual ███</t>
  </si>
  <si>
    <t>Mar ██████</t>
  </si>
  <si>
    <t>Apr ███████</t>
  </si>
  <si>
    <t>Sales by Region                     Sales by Category</t>
  </si>
  <si>
    <t>(Bar Chart)                         (Donut Chart)</t>
  </si>
  <si>
    <t>North   █████████                   Electronics 45%</t>
  </si>
  <si>
    <t>South   ███████                     Furniture   30%</t>
  </si>
  <si>
    <t>East    █████                       Office      25%</t>
  </si>
  <si>
    <t>West    ███████</t>
  </si>
  <si>
    <t>Top 10 Products                     Top Salespersons</t>
  </si>
  <si>
    <t>(Bar Chart)                         (Horizontal Bar)</t>
  </si>
  <si>
    <t>Laptop      ██████████              Ali        █████████</t>
  </si>
  <si>
    <t>Monitor     ███████                 Sara       ███████</t>
  </si>
  <si>
    <t>Keyboard    █████                   Ahmed      ██████</t>
  </si>
  <si>
    <t>Region-wise Product Sales</t>
  </si>
  <si>
    <t>(Stacked Column Chart)</t>
  </si>
  <si>
    <t>Laptop ███</t>
  </si>
  <si>
    <t>Mouse ██</t>
  </si>
  <si>
    <t>Monitor ████</t>
  </si>
  <si>
    <t>Laptop ██</t>
  </si>
  <si>
    <t>Keyboard ███</t>
  </si>
  <si>
    <t>Bottom 10 Products</t>
  </si>
  <si>
    <t>(Horizontal Bar Chart)</t>
  </si>
  <si>
    <t>Customer Type Sales                 Quarterly Sales</t>
  </si>
  <si>
    <t>Retail      68%                     Q1 ██████</t>
  </si>
  <si>
    <t>Wholesale   32%                     Q2 ████████</t>
  </si>
  <si>
    <t xml:space="preserve">                                     Q3 ███████</t>
  </si>
  <si>
    <t xml:space="preserve">                                     Q4 █████████</t>
  </si>
  <si>
    <t>Recommended Dashboard Theme</t>
  </si>
  <si>
    <t>Background: White (#FFFFFF)</t>
  </si>
  <si>
    <t>KPI Cards: Dark Blue (#1F4E78)</t>
  </si>
  <si>
    <t>Titles: Black</t>
  </si>
  <si>
    <t>Accent Color: Orange (#ED7D31)</t>
  </si>
  <si>
    <t>Positive Values: Green</t>
  </si>
  <si>
    <t>Negative Values: Red</t>
  </si>
  <si>
    <t>Font: Segoe UI or Calibri (11–14 pt)</t>
  </si>
  <si>
    <t>KPI Cards to Include</t>
  </si>
  <si>
    <t>KPI</t>
  </si>
  <si>
    <t>Formula</t>
  </si>
  <si>
    <t>Total Sales</t>
  </si>
  <si>
    <t>SUM(Sales)</t>
  </si>
  <si>
    <t>Total Orders</t>
  </si>
  <si>
    <t>COUNTA(OrderID)</t>
  </si>
  <si>
    <t>Total Quantity</t>
  </si>
  <si>
    <t>SUM(Quantity)</t>
  </si>
  <si>
    <t>Average Order Value</t>
  </si>
  <si>
    <t>Total Sales / Total Orders</t>
  </si>
  <si>
    <t>Total Target</t>
  </si>
  <si>
    <t>SUM(Target Sales)</t>
  </si>
  <si>
    <t>Achievement %</t>
  </si>
  <si>
    <t>Sales ÷ Target Sales</t>
  </si>
  <si>
    <t>Best Region</t>
  </si>
  <si>
    <t>Highest Sales</t>
  </si>
  <si>
    <t>Best Category</t>
  </si>
  <si>
    <t>Best Product</t>
  </si>
  <si>
    <t>Best Salesperson</t>
  </si>
  <si>
    <t>Charts to Build</t>
  </si>
  <si>
    <t>Chart</t>
  </si>
  <si>
    <t>Type</t>
  </si>
  <si>
    <t>Line</t>
  </si>
  <si>
    <t>Column</t>
  </si>
  <si>
    <t>Bar</t>
  </si>
  <si>
    <t>Donut</t>
  </si>
  <si>
    <t>Top 10 Products</t>
  </si>
  <si>
    <t>Horizontal Bar</t>
  </si>
  <si>
    <t>Salesperson Performance</t>
  </si>
  <si>
    <t>Sales vs Target</t>
  </si>
  <si>
    <t>Clustered Column</t>
  </si>
  <si>
    <t>Stacked Column</t>
  </si>
  <si>
    <t>Dashboard Filters</t>
  </si>
  <si>
    <t>LinkedIn Project Title</t>
  </si>
  <si>
    <t>📊 Excel Sales KPI Dashboard | Interactive Business Performance Report</t>
  </si>
  <si>
    <t>Project Description</t>
  </si>
  <si>
    <t>Designed an interactive Sales KPI Dashboard in Microsoft Excel using Pivot Tables, Pivot Charts, Slicers, and advanced Excel functions. The dashboard provides insights into sales performance, regional analysis, product performance, salesperson rankings, customer segmentation, and target achievement. It enables users to monitor business KPIs through dynamic visualizations and interactive filters.</t>
  </si>
  <si>
    <t>This layout closely matches the style used by business analysts and MIS professionals and makes a strong portfolio project for LinkedIn.</t>
  </si>
  <si>
    <t>Grand Total</t>
  </si>
  <si>
    <t>Row Labels</t>
  </si>
  <si>
    <t>Sum of Sales</t>
  </si>
  <si>
    <t>Sum of Quantity</t>
  </si>
  <si>
    <t>Sum of TargetSales</t>
  </si>
  <si>
    <t>Achievement Target</t>
  </si>
  <si>
    <t>Sum of Achievement Target</t>
  </si>
  <si>
    <t>Best Sale Person</t>
  </si>
  <si>
    <t>Monthly Sale Trend</t>
  </si>
  <si>
    <t>Jan</t>
  </si>
  <si>
    <t>Feb</t>
  </si>
  <si>
    <t>Mar</t>
  </si>
  <si>
    <t>Apr</t>
  </si>
  <si>
    <t>May</t>
  </si>
  <si>
    <t>Jun</t>
  </si>
  <si>
    <t>Jul</t>
  </si>
  <si>
    <t>Aug</t>
  </si>
  <si>
    <t>Sep</t>
  </si>
  <si>
    <t>Oct</t>
  </si>
  <si>
    <t>Nov</t>
  </si>
  <si>
    <t>Dec</t>
  </si>
  <si>
    <t>Quarterly Sale</t>
  </si>
  <si>
    <t>2025</t>
  </si>
  <si>
    <t>Sale KPI Deshboard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</si>
</sst>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3.5"/>
      <color theme="1"/>
      <name val="Calibri"/>
      <family val="2"/>
      <scheme val="minor"/>
    </font>
    <font>
      <b/>
      <sz val="24"/>
      <color theme="1"/>
      <name val="Calibri"/>
      <family val="2"/>
      <scheme val="minor"/>
    </font>
    <font>
      <b/>
      <sz val="18"/>
      <color theme="1"/>
      <name val="Calibri"/>
      <family val="2"/>
      <scheme val="minor"/>
    </font>
    <font>
      <sz val="10"/>
      <color theme="1"/>
      <name val="Arial Unicode MS"/>
      <family val="2"/>
    </font>
    <font>
      <sz val="11"/>
      <color theme="0"/>
      <name val="Calibri"/>
      <family val="2"/>
      <scheme val="minor"/>
    </font>
    <font>
      <sz val="18"/>
      <color theme="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3" fillId="2" borderId="1" xfId="0" applyFont="1" applyFill="1" applyBorder="1"/>
    <xf numFmtId="0" fontId="0" fillId="0" borderId="1" xfId="0" applyBorder="1"/>
    <xf numFmtId="164" fontId="0" fillId="0" borderId="1" xfId="0" applyNumberFormat="1" applyBorder="1"/>
    <xf numFmtId="0" fontId="2" fillId="0" borderId="0" xfId="0" applyFont="1"/>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2"/>
    </xf>
    <xf numFmtId="0" fontId="7" fillId="0" borderId="0" xfId="0" applyFont="1" applyAlignment="1">
      <alignment horizontal="left" vertical="center" indent="2"/>
    </xf>
    <xf numFmtId="0" fontId="7"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9" fontId="0" fillId="0" borderId="1" xfId="1" applyFont="1" applyBorder="1" applyAlignment="1">
      <alignment vertical="center"/>
    </xf>
    <xf numFmtId="9" fontId="0" fillId="0" borderId="0" xfId="0" applyNumberFormat="1"/>
    <xf numFmtId="9" fontId="0" fillId="0" borderId="0" xfId="1" applyFont="1"/>
    <xf numFmtId="164" fontId="0" fillId="0" borderId="0" xfId="0" applyNumberFormat="1" applyAlignment="1">
      <alignment horizontal="left" indent="1"/>
    </xf>
    <xf numFmtId="0" fontId="0" fillId="3" borderId="0" xfId="0" applyFill="1" applyAlignment="1">
      <alignment horizontal="center" vertical="center"/>
    </xf>
    <xf numFmtId="0" fontId="0" fillId="5" borderId="0" xfId="0" applyFill="1"/>
    <xf numFmtId="0" fontId="9" fillId="4" borderId="0" xfId="0" applyFont="1" applyFill="1" applyAlignment="1">
      <alignment horizontal="center" vertical="center"/>
    </xf>
    <xf numFmtId="0" fontId="8" fillId="4" borderId="0" xfId="0" applyFont="1" applyFill="1" applyAlignment="1">
      <alignment horizontal="center" vertical="center"/>
    </xf>
    <xf numFmtId="0" fontId="0" fillId="6" borderId="0" xfId="0" applyFill="1"/>
  </cellXfs>
  <cellStyles count="2">
    <cellStyle name="Normal" xfId="0" builtinId="0"/>
    <cellStyle name="Percent" xfId="1" builtinId="5"/>
  </cellStyles>
  <dxfs count="47">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1"/>
    </mc:Choice>
    <mc:Fallback>
      <c:style val="41"/>
    </mc:Fallback>
  </mc:AlternateContent>
  <c:pivotSource>
    <c:name>[KPI_Reporting_Practice_Data.xlsx]Sheet2!PivotTable8</c:name>
    <c:fmtId val="3"/>
  </c:pivotSource>
  <c:chart>
    <c:title>
      <c:tx>
        <c:rich>
          <a:bodyPr/>
          <a:lstStyle/>
          <a:p>
            <a:pPr>
              <a:defRPr/>
            </a:pPr>
            <a:r>
              <a:rPr lang="en-US"/>
              <a:t>Monthly</a:t>
            </a:r>
            <a:r>
              <a:rPr lang="en-US" baseline="0"/>
              <a:t> Sale Trend</a:t>
            </a:r>
            <a:endParaRPr lang="en-US"/>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Sheet2!$K$23</c:f>
              <c:strCache>
                <c:ptCount val="1"/>
                <c:pt idx="0">
                  <c:v>Total</c:v>
                </c:pt>
              </c:strCache>
            </c:strRef>
          </c:tx>
          <c:cat>
            <c:multiLvlStrRef>
              <c:f>Sheet2!$J$24:$J$37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Sheet2!$K$24:$K$37</c:f>
              <c:numCache>
                <c:formatCode>General</c:formatCode>
                <c:ptCount val="12"/>
                <c:pt idx="0">
                  <c:v>81318</c:v>
                </c:pt>
                <c:pt idx="1">
                  <c:v>56266</c:v>
                </c:pt>
                <c:pt idx="2">
                  <c:v>62195</c:v>
                </c:pt>
                <c:pt idx="3">
                  <c:v>42440</c:v>
                </c:pt>
                <c:pt idx="4">
                  <c:v>57361</c:v>
                </c:pt>
                <c:pt idx="5">
                  <c:v>57984</c:v>
                </c:pt>
                <c:pt idx="6">
                  <c:v>57873</c:v>
                </c:pt>
                <c:pt idx="7">
                  <c:v>76696</c:v>
                </c:pt>
                <c:pt idx="8">
                  <c:v>76886</c:v>
                </c:pt>
                <c:pt idx="9">
                  <c:v>55092</c:v>
                </c:pt>
                <c:pt idx="10">
                  <c:v>58775</c:v>
                </c:pt>
                <c:pt idx="11">
                  <c:v>58256</c:v>
                </c:pt>
              </c:numCache>
            </c:numRef>
          </c:val>
          <c:smooth val="0"/>
        </c:ser>
        <c:dLbls>
          <c:showLegendKey val="0"/>
          <c:showVal val="0"/>
          <c:showCatName val="0"/>
          <c:showSerName val="0"/>
          <c:showPercent val="0"/>
          <c:showBubbleSize val="0"/>
        </c:dLbls>
        <c:marker val="1"/>
        <c:smooth val="0"/>
        <c:axId val="34138752"/>
        <c:axId val="34665216"/>
      </c:lineChart>
      <c:catAx>
        <c:axId val="34138752"/>
        <c:scaling>
          <c:orientation val="minMax"/>
        </c:scaling>
        <c:delete val="0"/>
        <c:axPos val="b"/>
        <c:majorTickMark val="out"/>
        <c:minorTickMark val="none"/>
        <c:tickLblPos val="nextTo"/>
        <c:crossAx val="34665216"/>
        <c:crosses val="autoZero"/>
        <c:auto val="1"/>
        <c:lblAlgn val="ctr"/>
        <c:lblOffset val="100"/>
        <c:noMultiLvlLbl val="0"/>
      </c:catAx>
      <c:valAx>
        <c:axId val="34665216"/>
        <c:scaling>
          <c:orientation val="minMax"/>
        </c:scaling>
        <c:delete val="0"/>
        <c:axPos val="l"/>
        <c:majorGridlines/>
        <c:numFmt formatCode="General" sourceLinked="1"/>
        <c:majorTickMark val="out"/>
        <c:minorTickMark val="none"/>
        <c:tickLblPos val="nextTo"/>
        <c:crossAx val="341387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3"/>
    </mc:Choice>
    <mc:Fallback>
      <c:style val="43"/>
    </mc:Fallback>
  </mc:AlternateContent>
  <c:pivotSource>
    <c:name>[KPI_Reporting_Practice_Data.xlsx]Sheet2!PivotTable9</c:name>
    <c:fmtId val="2"/>
  </c:pivotSource>
  <c:chart>
    <c:autoTitleDeleted val="0"/>
    <c:pivotFmts>
      <c:pivotFmt>
        <c:idx val="0"/>
      </c:pivotFmt>
      <c:pivotFmt>
        <c:idx val="1"/>
      </c:pivotFmt>
      <c:pivotFmt>
        <c:idx val="2"/>
      </c:pivotFmt>
      <c:pivotFmt>
        <c:idx val="3"/>
      </c:pivotFmt>
      <c:pivotFmt>
        <c:idx val="4"/>
      </c:pivotFmt>
      <c:pivotFmt>
        <c:idx val="5"/>
      </c:pivotFmt>
    </c:pivotFmts>
    <c:plotArea>
      <c:layout/>
      <c:barChart>
        <c:barDir val="col"/>
        <c:grouping val="clustered"/>
        <c:varyColors val="0"/>
        <c:ser>
          <c:idx val="0"/>
          <c:order val="0"/>
          <c:tx>
            <c:strRef>
              <c:f>Sheet2!$N$23</c:f>
              <c:strCache>
                <c:ptCount val="1"/>
                <c:pt idx="0">
                  <c:v>Sum of TargetSales</c:v>
                </c:pt>
              </c:strCache>
            </c:strRef>
          </c:tx>
          <c:invertIfNegative val="0"/>
          <c:cat>
            <c:multiLvlStrRef>
              <c:f>Sheet2!$M$24:$M$37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Sheet2!$N$24:$N$37</c:f>
              <c:numCache>
                <c:formatCode>General</c:formatCode>
                <c:ptCount val="12"/>
                <c:pt idx="0">
                  <c:v>87431</c:v>
                </c:pt>
                <c:pt idx="1">
                  <c:v>58810</c:v>
                </c:pt>
                <c:pt idx="2">
                  <c:v>65130</c:v>
                </c:pt>
                <c:pt idx="3">
                  <c:v>45214</c:v>
                </c:pt>
                <c:pt idx="4">
                  <c:v>60072</c:v>
                </c:pt>
                <c:pt idx="5">
                  <c:v>59156</c:v>
                </c:pt>
                <c:pt idx="6">
                  <c:v>59838</c:v>
                </c:pt>
                <c:pt idx="7">
                  <c:v>83232</c:v>
                </c:pt>
                <c:pt idx="8">
                  <c:v>82888</c:v>
                </c:pt>
                <c:pt idx="9">
                  <c:v>57929</c:v>
                </c:pt>
                <c:pt idx="10">
                  <c:v>57992</c:v>
                </c:pt>
                <c:pt idx="11">
                  <c:v>60426</c:v>
                </c:pt>
              </c:numCache>
            </c:numRef>
          </c:val>
        </c:ser>
        <c:ser>
          <c:idx val="1"/>
          <c:order val="1"/>
          <c:tx>
            <c:strRef>
              <c:f>Sheet2!$O$23</c:f>
              <c:strCache>
                <c:ptCount val="1"/>
                <c:pt idx="0">
                  <c:v>Sum of Sales</c:v>
                </c:pt>
              </c:strCache>
            </c:strRef>
          </c:tx>
          <c:invertIfNegative val="0"/>
          <c:cat>
            <c:multiLvlStrRef>
              <c:f>Sheet2!$M$24:$M$37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Sheet2!$O$24:$O$37</c:f>
              <c:numCache>
                <c:formatCode>General</c:formatCode>
                <c:ptCount val="12"/>
                <c:pt idx="0">
                  <c:v>81318</c:v>
                </c:pt>
                <c:pt idx="1">
                  <c:v>56266</c:v>
                </c:pt>
                <c:pt idx="2">
                  <c:v>62195</c:v>
                </c:pt>
                <c:pt idx="3">
                  <c:v>42440</c:v>
                </c:pt>
                <c:pt idx="4">
                  <c:v>57361</c:v>
                </c:pt>
                <c:pt idx="5">
                  <c:v>57984</c:v>
                </c:pt>
                <c:pt idx="6">
                  <c:v>57873</c:v>
                </c:pt>
                <c:pt idx="7">
                  <c:v>76696</c:v>
                </c:pt>
                <c:pt idx="8">
                  <c:v>76886</c:v>
                </c:pt>
                <c:pt idx="9">
                  <c:v>55092</c:v>
                </c:pt>
                <c:pt idx="10">
                  <c:v>58775</c:v>
                </c:pt>
                <c:pt idx="11">
                  <c:v>58256</c:v>
                </c:pt>
              </c:numCache>
            </c:numRef>
          </c:val>
        </c:ser>
        <c:dLbls>
          <c:showLegendKey val="0"/>
          <c:showVal val="0"/>
          <c:showCatName val="0"/>
          <c:showSerName val="0"/>
          <c:showPercent val="0"/>
          <c:showBubbleSize val="0"/>
        </c:dLbls>
        <c:gapWidth val="150"/>
        <c:axId val="33021312"/>
        <c:axId val="155202304"/>
      </c:barChart>
      <c:catAx>
        <c:axId val="33021312"/>
        <c:scaling>
          <c:orientation val="minMax"/>
        </c:scaling>
        <c:delete val="0"/>
        <c:axPos val="b"/>
        <c:majorTickMark val="out"/>
        <c:minorTickMark val="none"/>
        <c:tickLblPos val="nextTo"/>
        <c:crossAx val="155202304"/>
        <c:crosses val="autoZero"/>
        <c:auto val="1"/>
        <c:lblAlgn val="ctr"/>
        <c:lblOffset val="100"/>
        <c:noMultiLvlLbl val="0"/>
      </c:catAx>
      <c:valAx>
        <c:axId val="155202304"/>
        <c:scaling>
          <c:orientation val="minMax"/>
        </c:scaling>
        <c:delete val="0"/>
        <c:axPos val="l"/>
        <c:majorGridlines/>
        <c:numFmt formatCode="General" sourceLinked="1"/>
        <c:majorTickMark val="out"/>
        <c:minorTickMark val="none"/>
        <c:tickLblPos val="nextTo"/>
        <c:crossAx val="330213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3"/>
    </mc:Choice>
    <mc:Fallback>
      <c:style val="43"/>
    </mc:Fallback>
  </mc:AlternateContent>
  <c:pivotSource>
    <c:name>[KPI_Reporting_Practice_Data.xlsx]Sheet2!PivotTable5</c:name>
    <c:fmtId val="2"/>
  </c:pivotSource>
  <c:chart>
    <c:title>
      <c:tx>
        <c:rich>
          <a:bodyPr/>
          <a:lstStyle/>
          <a:p>
            <a:pPr>
              <a:defRPr/>
            </a:pPr>
            <a:r>
              <a:rPr lang="en-US"/>
              <a:t>Sale By Region</a:t>
            </a:r>
          </a:p>
        </c:rich>
      </c:tx>
      <c:layout/>
      <c:overlay val="0"/>
    </c:title>
    <c:autoTitleDeleted val="0"/>
    <c:pivotFmts>
      <c:pivotFmt>
        <c:idx val="0"/>
      </c:pivotFmt>
      <c:pivotFmt>
        <c:idx val="1"/>
      </c:pivotFmt>
      <c:pivotFmt>
        <c:idx val="2"/>
      </c:pivotFmt>
    </c:pivotFmts>
    <c:plotArea>
      <c:layout/>
      <c:barChart>
        <c:barDir val="bar"/>
        <c:grouping val="clustered"/>
        <c:varyColors val="0"/>
        <c:ser>
          <c:idx val="0"/>
          <c:order val="0"/>
          <c:tx>
            <c:strRef>
              <c:f>Sheet2!$N$2</c:f>
              <c:strCache>
                <c:ptCount val="1"/>
                <c:pt idx="0">
                  <c:v>Total</c:v>
                </c:pt>
              </c:strCache>
            </c:strRef>
          </c:tx>
          <c:invertIfNegative val="0"/>
          <c:cat>
            <c:strRef>
              <c:f>Sheet2!$M$3:$M$7</c:f>
              <c:strCache>
                <c:ptCount val="4"/>
                <c:pt idx="0">
                  <c:v>North</c:v>
                </c:pt>
                <c:pt idx="1">
                  <c:v>East</c:v>
                </c:pt>
                <c:pt idx="2">
                  <c:v>West</c:v>
                </c:pt>
                <c:pt idx="3">
                  <c:v>South</c:v>
                </c:pt>
              </c:strCache>
            </c:strRef>
          </c:cat>
          <c:val>
            <c:numRef>
              <c:f>Sheet2!$N$3:$N$7</c:f>
              <c:numCache>
                <c:formatCode>General</c:formatCode>
                <c:ptCount val="4"/>
                <c:pt idx="0">
                  <c:v>200498</c:v>
                </c:pt>
                <c:pt idx="1">
                  <c:v>184987</c:v>
                </c:pt>
                <c:pt idx="2">
                  <c:v>179018</c:v>
                </c:pt>
                <c:pt idx="3">
                  <c:v>176639</c:v>
                </c:pt>
              </c:numCache>
            </c:numRef>
          </c:val>
        </c:ser>
        <c:dLbls>
          <c:showLegendKey val="0"/>
          <c:showVal val="0"/>
          <c:showCatName val="0"/>
          <c:showSerName val="0"/>
          <c:showPercent val="0"/>
          <c:showBubbleSize val="0"/>
        </c:dLbls>
        <c:gapWidth val="150"/>
        <c:axId val="156865664"/>
        <c:axId val="156867200"/>
      </c:barChart>
      <c:catAx>
        <c:axId val="156865664"/>
        <c:scaling>
          <c:orientation val="minMax"/>
        </c:scaling>
        <c:delete val="0"/>
        <c:axPos val="l"/>
        <c:majorTickMark val="out"/>
        <c:minorTickMark val="none"/>
        <c:tickLblPos val="nextTo"/>
        <c:crossAx val="156867200"/>
        <c:crosses val="autoZero"/>
        <c:auto val="1"/>
        <c:lblAlgn val="ctr"/>
        <c:lblOffset val="100"/>
        <c:noMultiLvlLbl val="0"/>
      </c:catAx>
      <c:valAx>
        <c:axId val="156867200"/>
        <c:scaling>
          <c:orientation val="minMax"/>
        </c:scaling>
        <c:delete val="0"/>
        <c:axPos val="b"/>
        <c:majorGridlines/>
        <c:numFmt formatCode="General" sourceLinked="1"/>
        <c:majorTickMark val="out"/>
        <c:minorTickMark val="none"/>
        <c:tickLblPos val="nextTo"/>
        <c:crossAx val="1568656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[KPI_Reporting_Practice_Data.xlsx]Sheet2!PivotTable4</c:name>
    <c:fmtId val="2"/>
  </c:pivotSource>
  <c:chart>
    <c:title>
      <c:tx>
        <c:rich>
          <a:bodyPr/>
          <a:lstStyle/>
          <a:p>
            <a:pPr>
              <a:defRPr/>
            </a:pPr>
            <a:r>
              <a:rPr lang="en-US"/>
              <a:t>Sale By Category</a:t>
            </a:r>
          </a:p>
          <a:p>
            <a:pPr>
              <a:defRPr/>
            </a:pPr>
            <a:endParaRPr lang="en-US"/>
          </a:p>
        </c:rich>
      </c:tx>
      <c:layout/>
      <c:overlay val="0"/>
    </c:title>
    <c:autoTitleDeleted val="0"/>
    <c:pivotFmts>
      <c:pivotFmt>
        <c:idx val="0"/>
      </c:pivotFmt>
      <c:pivotFmt>
        <c:idx val="1"/>
      </c:pivotFmt>
      <c:pivotFmt>
        <c:idx val="2"/>
      </c:pivotFmt>
    </c:pivotFmts>
    <c:plotArea>
      <c:layout/>
      <c:pieChart>
        <c:varyColors val="1"/>
        <c:ser>
          <c:idx val="0"/>
          <c:order val="0"/>
          <c:tx>
            <c:strRef>
              <c:f>Sheet2!$K$2</c:f>
              <c:strCache>
                <c:ptCount val="1"/>
                <c:pt idx="0">
                  <c:v>Total</c:v>
                </c:pt>
              </c:strCache>
            </c:strRef>
          </c:tx>
          <c:cat>
            <c:strRef>
              <c:f>Sheet2!$J$3:$J$6</c:f>
              <c:strCache>
                <c:ptCount val="3"/>
                <c:pt idx="0">
                  <c:v>Furniture</c:v>
                </c:pt>
                <c:pt idx="1">
                  <c:v>Office Supplies</c:v>
                </c:pt>
                <c:pt idx="2">
                  <c:v>Electronics</c:v>
                </c:pt>
              </c:strCache>
            </c:strRef>
          </c:cat>
          <c:val>
            <c:numRef>
              <c:f>Sheet2!$K$3:$K$6</c:f>
              <c:numCache>
                <c:formatCode>General</c:formatCode>
                <c:ptCount val="3"/>
                <c:pt idx="0">
                  <c:v>265646</c:v>
                </c:pt>
                <c:pt idx="1">
                  <c:v>258857</c:v>
                </c:pt>
                <c:pt idx="2">
                  <c:v>216639</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4"/>
    </mc:Choice>
    <mc:Fallback>
      <c:style val="44"/>
    </mc:Fallback>
  </mc:AlternateContent>
  <c:pivotSource>
    <c:name>[KPI_Reporting_Practice_Data.xlsx]Sheet2!PivotTable6</c:name>
    <c:fmtId val="2"/>
  </c:pivotSource>
  <c:chart>
    <c:title>
      <c:tx>
        <c:rich>
          <a:bodyPr/>
          <a:lstStyle/>
          <a:p>
            <a:pPr>
              <a:defRPr/>
            </a:pPr>
            <a:r>
              <a:rPr lang="en-US"/>
              <a:t>Top 10 Product</a:t>
            </a:r>
          </a:p>
          <a:p>
            <a:pPr>
              <a:defRPr/>
            </a:pPr>
            <a:endParaRPr lang="en-US"/>
          </a:p>
        </c:rich>
      </c:tx>
      <c:layout/>
      <c:overlay val="0"/>
    </c:title>
    <c:autoTitleDeleted val="0"/>
    <c:pivotFmts>
      <c:pivotFmt>
        <c:idx val="0"/>
      </c:pivotFmt>
      <c:pivotFmt>
        <c:idx val="1"/>
      </c:pivotFmt>
      <c:pivotFmt>
        <c:idx val="2"/>
      </c:pivotFmt>
    </c:pivotFmts>
    <c:plotArea>
      <c:layout/>
      <c:barChart>
        <c:barDir val="bar"/>
        <c:grouping val="clustered"/>
        <c:varyColors val="0"/>
        <c:ser>
          <c:idx val="0"/>
          <c:order val="0"/>
          <c:tx>
            <c:strRef>
              <c:f>Sheet2!$K$9</c:f>
              <c:strCache>
                <c:ptCount val="1"/>
                <c:pt idx="0">
                  <c:v>Total</c:v>
                </c:pt>
              </c:strCache>
            </c:strRef>
          </c:tx>
          <c:invertIfNegative val="0"/>
          <c:cat>
            <c:strRef>
              <c:f>Sheet2!$J$10:$J$20</c:f>
              <c:strCache>
                <c:ptCount val="10"/>
                <c:pt idx="0">
                  <c:v>Cabinet</c:v>
                </c:pt>
                <c:pt idx="1">
                  <c:v>Stapler</c:v>
                </c:pt>
                <c:pt idx="2">
                  <c:v>Chair</c:v>
                </c:pt>
                <c:pt idx="3">
                  <c:v>Pen</c:v>
                </c:pt>
                <c:pt idx="4">
                  <c:v>Desk</c:v>
                </c:pt>
                <c:pt idx="5">
                  <c:v>Paper</c:v>
                </c:pt>
                <c:pt idx="6">
                  <c:v>Mouse</c:v>
                </c:pt>
                <c:pt idx="7">
                  <c:v>Keyboard</c:v>
                </c:pt>
                <c:pt idx="8">
                  <c:v>Laptop</c:v>
                </c:pt>
                <c:pt idx="9">
                  <c:v>Monitor</c:v>
                </c:pt>
              </c:strCache>
            </c:strRef>
          </c:cat>
          <c:val>
            <c:numRef>
              <c:f>Sheet2!$K$10:$K$20</c:f>
              <c:numCache>
                <c:formatCode>General</c:formatCode>
                <c:ptCount val="10"/>
                <c:pt idx="0">
                  <c:v>97579</c:v>
                </c:pt>
                <c:pt idx="1">
                  <c:v>94695</c:v>
                </c:pt>
                <c:pt idx="2">
                  <c:v>85125</c:v>
                </c:pt>
                <c:pt idx="3">
                  <c:v>83864</c:v>
                </c:pt>
                <c:pt idx="4">
                  <c:v>82942</c:v>
                </c:pt>
                <c:pt idx="5">
                  <c:v>80298</c:v>
                </c:pt>
                <c:pt idx="6">
                  <c:v>58814</c:v>
                </c:pt>
                <c:pt idx="7">
                  <c:v>56455</c:v>
                </c:pt>
                <c:pt idx="8">
                  <c:v>55934</c:v>
                </c:pt>
                <c:pt idx="9">
                  <c:v>45436</c:v>
                </c:pt>
              </c:numCache>
            </c:numRef>
          </c:val>
        </c:ser>
        <c:dLbls>
          <c:showLegendKey val="0"/>
          <c:showVal val="0"/>
          <c:showCatName val="0"/>
          <c:showSerName val="0"/>
          <c:showPercent val="0"/>
          <c:showBubbleSize val="0"/>
        </c:dLbls>
        <c:gapWidth val="150"/>
        <c:axId val="226617216"/>
        <c:axId val="226618752"/>
      </c:barChart>
      <c:catAx>
        <c:axId val="226617216"/>
        <c:scaling>
          <c:orientation val="minMax"/>
        </c:scaling>
        <c:delete val="0"/>
        <c:axPos val="l"/>
        <c:majorTickMark val="out"/>
        <c:minorTickMark val="none"/>
        <c:tickLblPos val="nextTo"/>
        <c:crossAx val="226618752"/>
        <c:crosses val="autoZero"/>
        <c:auto val="1"/>
        <c:lblAlgn val="ctr"/>
        <c:lblOffset val="100"/>
        <c:noMultiLvlLbl val="0"/>
      </c:catAx>
      <c:valAx>
        <c:axId val="226618752"/>
        <c:scaling>
          <c:orientation val="minMax"/>
        </c:scaling>
        <c:delete val="0"/>
        <c:axPos val="b"/>
        <c:majorGridlines/>
        <c:numFmt formatCode="General" sourceLinked="1"/>
        <c:majorTickMark val="out"/>
        <c:minorTickMark val="none"/>
        <c:tickLblPos val="nextTo"/>
        <c:crossAx val="2266172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[KPI_Reporting_Practice_Data.xlsx]Sheet2!PivotTable7</c:name>
    <c:fmtId val="2"/>
  </c:pivotSource>
  <c:chart>
    <c:title>
      <c:tx>
        <c:rich>
          <a:bodyPr/>
          <a:lstStyle/>
          <a:p>
            <a:pPr>
              <a:defRPr/>
            </a:pPr>
            <a:r>
              <a:rPr lang="en-US"/>
              <a:t>Top Sale Persom</a:t>
            </a:r>
          </a:p>
        </c:rich>
      </c:tx>
      <c:layout/>
      <c:overlay val="0"/>
    </c:title>
    <c:autoTitleDeleted val="0"/>
    <c:pivotFmts>
      <c:pivotFmt>
        <c:idx val="0"/>
      </c:pivotFmt>
      <c:pivotFmt>
        <c:idx val="1"/>
      </c:pivotFmt>
      <c:pivotFmt>
        <c:idx val="2"/>
      </c:pivotFmt>
    </c:pivotFmts>
    <c:plotArea>
      <c:layout/>
      <c:barChart>
        <c:barDir val="bar"/>
        <c:grouping val="stacked"/>
        <c:varyColors val="0"/>
        <c:ser>
          <c:idx val="0"/>
          <c:order val="0"/>
          <c:tx>
            <c:strRef>
              <c:f>Sheet2!$N$9</c:f>
              <c:strCache>
                <c:ptCount val="1"/>
                <c:pt idx="0">
                  <c:v>Total</c:v>
                </c:pt>
              </c:strCache>
            </c:strRef>
          </c:tx>
          <c:invertIfNegative val="0"/>
          <c:cat>
            <c:strRef>
              <c:f>Sheet2!$M$10:$M$16</c:f>
              <c:strCache>
                <c:ptCount val="6"/>
                <c:pt idx="0">
                  <c:v>Sara</c:v>
                </c:pt>
                <c:pt idx="1">
                  <c:v>Fatima</c:v>
                </c:pt>
                <c:pt idx="2">
                  <c:v>Ali</c:v>
                </c:pt>
                <c:pt idx="3">
                  <c:v>Ayesha</c:v>
                </c:pt>
                <c:pt idx="4">
                  <c:v>Usman</c:v>
                </c:pt>
                <c:pt idx="5">
                  <c:v>Ahmed</c:v>
                </c:pt>
              </c:strCache>
            </c:strRef>
          </c:cat>
          <c:val>
            <c:numRef>
              <c:f>Sheet2!$N$10:$N$16</c:f>
              <c:numCache>
                <c:formatCode>General</c:formatCode>
                <c:ptCount val="6"/>
                <c:pt idx="0">
                  <c:v>139218</c:v>
                </c:pt>
                <c:pt idx="1">
                  <c:v>131739</c:v>
                </c:pt>
                <c:pt idx="2">
                  <c:v>124002</c:v>
                </c:pt>
                <c:pt idx="3">
                  <c:v>123689</c:v>
                </c:pt>
                <c:pt idx="4">
                  <c:v>117984</c:v>
                </c:pt>
                <c:pt idx="5">
                  <c:v>104510</c:v>
                </c:pt>
              </c:numCache>
            </c:numRef>
          </c:val>
        </c:ser>
        <c:dLbls>
          <c:showLegendKey val="0"/>
          <c:showVal val="0"/>
          <c:showCatName val="0"/>
          <c:showSerName val="0"/>
          <c:showPercent val="0"/>
          <c:showBubbleSize val="0"/>
        </c:dLbls>
        <c:gapWidth val="150"/>
        <c:overlap val="100"/>
        <c:axId val="224259456"/>
        <c:axId val="227423744"/>
      </c:barChart>
      <c:catAx>
        <c:axId val="224259456"/>
        <c:scaling>
          <c:orientation val="minMax"/>
        </c:scaling>
        <c:delete val="0"/>
        <c:axPos val="l"/>
        <c:majorTickMark val="out"/>
        <c:minorTickMark val="none"/>
        <c:tickLblPos val="nextTo"/>
        <c:crossAx val="227423744"/>
        <c:crosses val="autoZero"/>
        <c:auto val="1"/>
        <c:lblAlgn val="ctr"/>
        <c:lblOffset val="100"/>
        <c:noMultiLvlLbl val="0"/>
      </c:catAx>
      <c:valAx>
        <c:axId val="227423744"/>
        <c:scaling>
          <c:orientation val="minMax"/>
        </c:scaling>
        <c:delete val="0"/>
        <c:axPos val="b"/>
        <c:majorGridlines/>
        <c:numFmt formatCode="General" sourceLinked="1"/>
        <c:majorTickMark val="out"/>
        <c:minorTickMark val="none"/>
        <c:tickLblPos val="nextTo"/>
        <c:crossAx val="2242594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4</xdr:row>
      <xdr:rowOff>19050</xdr:rowOff>
    </xdr:from>
    <xdr:to>
      <xdr:col>3</xdr:col>
      <xdr:colOff>390525</xdr:colOff>
      <xdr:row>7</xdr:row>
      <xdr:rowOff>123825</xdr:rowOff>
    </xdr:to>
    <xdr:sp macro="" textlink="Sheet2!H10">
      <xdr:nvSpPr>
        <xdr:cNvPr id="4" name="Rectangle 3"/>
        <xdr:cNvSpPr/>
      </xdr:nvSpPr>
      <xdr:spPr>
        <a:xfrm>
          <a:off x="28575" y="2305050"/>
          <a:ext cx="1771650" cy="676275"/>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fld id="{73957F05-3677-4743-B516-FB24837B9F71}" type="TxLink">
            <a:rPr lang="en-US" sz="1400" b="1"/>
            <a:pPr algn="l"/>
            <a:t>741142</a:t>
          </a:fld>
          <a:endParaRPr lang="en-US" sz="1400" b="1"/>
        </a:p>
      </xdr:txBody>
    </xdr:sp>
    <xdr:clientData/>
  </xdr:twoCellAnchor>
  <xdr:twoCellAnchor>
    <xdr:from>
      <xdr:col>3</xdr:col>
      <xdr:colOff>542925</xdr:colOff>
      <xdr:row>4</xdr:row>
      <xdr:rowOff>9525</xdr:rowOff>
    </xdr:from>
    <xdr:to>
      <xdr:col>7</xdr:col>
      <xdr:colOff>276225</xdr:colOff>
      <xdr:row>7</xdr:row>
      <xdr:rowOff>123825</xdr:rowOff>
    </xdr:to>
    <xdr:sp macro="" textlink="Sheet2!H12">
      <xdr:nvSpPr>
        <xdr:cNvPr id="5" name="Rectangle 4"/>
        <xdr:cNvSpPr/>
      </xdr:nvSpPr>
      <xdr:spPr>
        <a:xfrm>
          <a:off x="1952625" y="771525"/>
          <a:ext cx="1752600" cy="6858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fld id="{4E6872E1-FFF1-4EDF-998B-CE7D3B667506}" type="TxLink">
            <a:rPr lang="en-US" sz="1400" b="1"/>
            <a:pPr algn="l"/>
            <a:t>500</a:t>
          </a:fld>
          <a:endParaRPr lang="en-US" sz="1400" b="1"/>
        </a:p>
      </xdr:txBody>
    </xdr:sp>
    <xdr:clientData/>
  </xdr:twoCellAnchor>
  <xdr:twoCellAnchor>
    <xdr:from>
      <xdr:col>7</xdr:col>
      <xdr:colOff>495300</xdr:colOff>
      <xdr:row>4</xdr:row>
      <xdr:rowOff>19051</xdr:rowOff>
    </xdr:from>
    <xdr:to>
      <xdr:col>12</xdr:col>
      <xdr:colOff>76200</xdr:colOff>
      <xdr:row>7</xdr:row>
      <xdr:rowOff>95251</xdr:rowOff>
    </xdr:to>
    <xdr:sp macro="" textlink="Sheet2!H14">
      <xdr:nvSpPr>
        <xdr:cNvPr id="6" name="Rectangle 5"/>
        <xdr:cNvSpPr/>
      </xdr:nvSpPr>
      <xdr:spPr>
        <a:xfrm>
          <a:off x="3924300" y="2305051"/>
          <a:ext cx="1790700" cy="6477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fld id="{1E0EFF96-04C6-471A-85AB-1986364C3CD5}" type="TxLink">
            <a:rPr lang="en-US" sz="1400" b="1" baseline="0"/>
            <a:pPr algn="l"/>
            <a:t>2797</a:t>
          </a:fld>
          <a:endParaRPr lang="en-US" sz="1400" b="1" baseline="0"/>
        </a:p>
      </xdr:txBody>
    </xdr:sp>
    <xdr:clientData/>
  </xdr:twoCellAnchor>
  <xdr:twoCellAnchor>
    <xdr:from>
      <xdr:col>12</xdr:col>
      <xdr:colOff>219076</xdr:colOff>
      <xdr:row>4</xdr:row>
      <xdr:rowOff>9525</xdr:rowOff>
    </xdr:from>
    <xdr:to>
      <xdr:col>15</xdr:col>
      <xdr:colOff>209550</xdr:colOff>
      <xdr:row>7</xdr:row>
      <xdr:rowOff>95250</xdr:rowOff>
    </xdr:to>
    <xdr:sp macro="" textlink="Sheet2!H16">
      <xdr:nvSpPr>
        <xdr:cNvPr id="7" name="Rectangle 6"/>
        <xdr:cNvSpPr/>
      </xdr:nvSpPr>
      <xdr:spPr>
        <a:xfrm>
          <a:off x="5857876" y="2295525"/>
          <a:ext cx="1819274" cy="657225"/>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fld id="{03FF8ABB-B8C1-45DC-8718-C3932A75EE0A}" type="TxLink">
            <a:rPr lang="en-US" sz="1400" b="1"/>
            <a:pPr algn="l"/>
            <a:t>1482.284</a:t>
          </a:fld>
          <a:endParaRPr lang="en-US" sz="1400" b="1"/>
        </a:p>
      </xdr:txBody>
    </xdr:sp>
    <xdr:clientData/>
  </xdr:twoCellAnchor>
  <xdr:twoCellAnchor>
    <xdr:from>
      <xdr:col>15</xdr:col>
      <xdr:colOff>361951</xdr:colOff>
      <xdr:row>3</xdr:row>
      <xdr:rowOff>180975</xdr:rowOff>
    </xdr:from>
    <xdr:to>
      <xdr:col>18</xdr:col>
      <xdr:colOff>314325</xdr:colOff>
      <xdr:row>7</xdr:row>
      <xdr:rowOff>85725</xdr:rowOff>
    </xdr:to>
    <xdr:sp macro="" textlink="Sheet2!H20">
      <xdr:nvSpPr>
        <xdr:cNvPr id="8" name="Rectangle 7"/>
        <xdr:cNvSpPr/>
      </xdr:nvSpPr>
      <xdr:spPr>
        <a:xfrm>
          <a:off x="7829551" y="2276475"/>
          <a:ext cx="1781174" cy="66675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fld id="{7AAE0FC1-AE39-4341-A035-7370E4E862A0}" type="TxLink">
            <a:rPr lang="en-US" sz="1400" b="1"/>
            <a:pPr algn="l"/>
            <a:t>48456%</a:t>
          </a:fld>
          <a:endParaRPr lang="en-US" sz="1400" b="1"/>
        </a:p>
      </xdr:txBody>
    </xdr:sp>
    <xdr:clientData/>
  </xdr:twoCellAnchor>
  <xdr:twoCellAnchor editAs="oneCell">
    <xdr:from>
      <xdr:col>0</xdr:col>
      <xdr:colOff>9525</xdr:colOff>
      <xdr:row>8</xdr:row>
      <xdr:rowOff>104775</xdr:rowOff>
    </xdr:from>
    <xdr:to>
      <xdr:col>3</xdr:col>
      <xdr:colOff>428625</xdr:colOff>
      <xdr:row>16</xdr:row>
      <xdr:rowOff>57150</xdr:rowOff>
    </xdr:to>
    <mc:AlternateContent xmlns:mc="http://schemas.openxmlformats.org/markup-compatibility/2006">
      <mc:Choice xmlns:a14="http://schemas.microsoft.com/office/drawing/2010/main" Requires="a14">
        <xdr:graphicFrame macro="">
          <xdr:nvGraphicFramePr>
            <xdr:cNvPr id="9" name="OrderDate"/>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9525" y="1628775"/>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514350</xdr:colOff>
      <xdr:row>8</xdr:row>
      <xdr:rowOff>95250</xdr:rowOff>
    </xdr:from>
    <xdr:to>
      <xdr:col>7</xdr:col>
      <xdr:colOff>200025</xdr:colOff>
      <xdr:row>16</xdr:row>
      <xdr:rowOff>47625</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24050" y="1619250"/>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466725</xdr:colOff>
      <xdr:row>8</xdr:row>
      <xdr:rowOff>85726</xdr:rowOff>
    </xdr:from>
    <xdr:to>
      <xdr:col>12</xdr:col>
      <xdr:colOff>85725</xdr:colOff>
      <xdr:row>16</xdr:row>
      <xdr:rowOff>28576</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19550" y="160972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8</xdr:row>
      <xdr:rowOff>76201</xdr:rowOff>
    </xdr:from>
    <xdr:to>
      <xdr:col>15</xdr:col>
      <xdr:colOff>228600</xdr:colOff>
      <xdr:row>16</xdr:row>
      <xdr:rowOff>38101</xdr:rowOff>
    </xdr:to>
    <mc:AlternateContent xmlns:mc="http://schemas.openxmlformats.org/markup-compatibility/2006">
      <mc:Choice xmlns:a14="http://schemas.microsoft.com/office/drawing/2010/main" Requires="a14">
        <xdr:graphicFrame macro="">
          <xdr:nvGraphicFramePr>
            <xdr:cNvPr id="1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991225" y="160020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371475</xdr:colOff>
      <xdr:row>8</xdr:row>
      <xdr:rowOff>66675</xdr:rowOff>
    </xdr:from>
    <xdr:to>
      <xdr:col>18</xdr:col>
      <xdr:colOff>371475</xdr:colOff>
      <xdr:row>16</xdr:row>
      <xdr:rowOff>38100</xdr:rowOff>
    </xdr:to>
    <mc:AlternateContent xmlns:mc="http://schemas.openxmlformats.org/markup-compatibility/2006">
      <mc:Choice xmlns:a14="http://schemas.microsoft.com/office/drawing/2010/main" Requires="a14">
        <xdr:graphicFrame macro="">
          <xdr:nvGraphicFramePr>
            <xdr:cNvPr id="13" name="CustomerType"/>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7962900" y="1590675"/>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0</xdr:rowOff>
    </xdr:from>
    <xdr:to>
      <xdr:col>10</xdr:col>
      <xdr:colOff>0</xdr:colOff>
      <xdr:row>32</xdr:row>
      <xdr:rowOff>76200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17</xdr:row>
      <xdr:rowOff>180975</xdr:rowOff>
    </xdr:from>
    <xdr:to>
      <xdr:col>18</xdr:col>
      <xdr:colOff>304800</xdr:colOff>
      <xdr:row>32</xdr:row>
      <xdr:rowOff>66675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152400</xdr:rowOff>
    </xdr:from>
    <xdr:to>
      <xdr:col>9</xdr:col>
      <xdr:colOff>342900</xdr:colOff>
      <xdr:row>48</xdr:row>
      <xdr:rowOff>38100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180975</xdr:colOff>
      <xdr:row>33</xdr:row>
      <xdr:rowOff>142875</xdr:rowOff>
    </xdr:from>
    <xdr:to>
      <xdr:col>18</xdr:col>
      <xdr:colOff>295275</xdr:colOff>
      <xdr:row>48</xdr:row>
      <xdr:rowOff>28575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0</xdr:rowOff>
    </xdr:from>
    <xdr:to>
      <xdr:col>9</xdr:col>
      <xdr:colOff>342900</xdr:colOff>
      <xdr:row>64</xdr:row>
      <xdr:rowOff>76200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9525</xdr:colOff>
      <xdr:row>49</xdr:row>
      <xdr:rowOff>180975</xdr:rowOff>
    </xdr:from>
    <xdr:to>
      <xdr:col>18</xdr:col>
      <xdr:colOff>295275</xdr:colOff>
      <xdr:row>64</xdr:row>
      <xdr:rowOff>66675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6</xdr:row>
      <xdr:rowOff>19049</xdr:rowOff>
    </xdr:from>
    <xdr:to>
      <xdr:col>3</xdr:col>
      <xdr:colOff>342900</xdr:colOff>
      <xdr:row>7</xdr:row>
      <xdr:rowOff>9524</xdr:rowOff>
    </xdr:to>
    <xdr:sp macro="" textlink="">
      <xdr:nvSpPr>
        <xdr:cNvPr id="2" name="TextBox 1"/>
        <xdr:cNvSpPr txBox="1"/>
      </xdr:nvSpPr>
      <xdr:spPr>
        <a:xfrm>
          <a:off x="76200" y="1162049"/>
          <a:ext cx="16764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solidFill>
            </a:rPr>
            <a:t>Total Sale</a:t>
          </a:r>
        </a:p>
        <a:p>
          <a:endParaRPr lang="en-US" sz="1600" b="1">
            <a:solidFill>
              <a:schemeClr val="bg1"/>
            </a:solidFill>
          </a:endParaRPr>
        </a:p>
      </xdr:txBody>
    </xdr:sp>
    <xdr:clientData/>
  </xdr:twoCellAnchor>
  <xdr:twoCellAnchor>
    <xdr:from>
      <xdr:col>3</xdr:col>
      <xdr:colOff>609599</xdr:colOff>
      <xdr:row>6</xdr:row>
      <xdr:rowOff>9525</xdr:rowOff>
    </xdr:from>
    <xdr:to>
      <xdr:col>7</xdr:col>
      <xdr:colOff>180974</xdr:colOff>
      <xdr:row>7</xdr:row>
      <xdr:rowOff>0</xdr:rowOff>
    </xdr:to>
    <xdr:sp macro="" textlink="">
      <xdr:nvSpPr>
        <xdr:cNvPr id="3" name="TextBox 2"/>
        <xdr:cNvSpPr txBox="1"/>
      </xdr:nvSpPr>
      <xdr:spPr>
        <a:xfrm>
          <a:off x="2019299" y="1152525"/>
          <a:ext cx="159067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solidFill>
            </a:rPr>
            <a:t>Total Order</a:t>
          </a:r>
        </a:p>
      </xdr:txBody>
    </xdr:sp>
    <xdr:clientData/>
  </xdr:twoCellAnchor>
  <xdr:twoCellAnchor>
    <xdr:from>
      <xdr:col>7</xdr:col>
      <xdr:colOff>581025</xdr:colOff>
      <xdr:row>5</xdr:row>
      <xdr:rowOff>161925</xdr:rowOff>
    </xdr:from>
    <xdr:to>
      <xdr:col>11</xdr:col>
      <xdr:colOff>171450</xdr:colOff>
      <xdr:row>6</xdr:row>
      <xdr:rowOff>180975</xdr:rowOff>
    </xdr:to>
    <xdr:sp macro="" textlink="">
      <xdr:nvSpPr>
        <xdr:cNvPr id="21" name="TextBox 20"/>
        <xdr:cNvSpPr txBox="1"/>
      </xdr:nvSpPr>
      <xdr:spPr>
        <a:xfrm>
          <a:off x="4133850" y="1114425"/>
          <a:ext cx="16097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solidFill>
            </a:rPr>
            <a:t>Total Qty</a:t>
          </a:r>
        </a:p>
      </xdr:txBody>
    </xdr:sp>
    <xdr:clientData/>
  </xdr:twoCellAnchor>
  <xdr:twoCellAnchor>
    <xdr:from>
      <xdr:col>12</xdr:col>
      <xdr:colOff>295275</xdr:colOff>
      <xdr:row>5</xdr:row>
      <xdr:rowOff>152400</xdr:rowOff>
    </xdr:from>
    <xdr:to>
      <xdr:col>15</xdr:col>
      <xdr:colOff>95250</xdr:colOff>
      <xdr:row>6</xdr:row>
      <xdr:rowOff>180975</xdr:rowOff>
    </xdr:to>
    <xdr:sp macro="" textlink="">
      <xdr:nvSpPr>
        <xdr:cNvPr id="22" name="TextBox 21"/>
        <xdr:cNvSpPr txBox="1"/>
      </xdr:nvSpPr>
      <xdr:spPr>
        <a:xfrm>
          <a:off x="6057900" y="1104900"/>
          <a:ext cx="16287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solidFill>
            </a:rPr>
            <a:t>Avg Order</a:t>
          </a:r>
          <a:r>
            <a:rPr lang="en-US" sz="1600" b="1" baseline="0">
              <a:solidFill>
                <a:schemeClr val="bg1"/>
              </a:solidFill>
            </a:rPr>
            <a:t> Value</a:t>
          </a:r>
          <a:endParaRPr lang="en-US" sz="1600" b="1">
            <a:solidFill>
              <a:schemeClr val="bg1"/>
            </a:solidFill>
          </a:endParaRPr>
        </a:p>
      </xdr:txBody>
    </xdr:sp>
    <xdr:clientData/>
  </xdr:twoCellAnchor>
  <xdr:twoCellAnchor>
    <xdr:from>
      <xdr:col>15</xdr:col>
      <xdr:colOff>438150</xdr:colOff>
      <xdr:row>5</xdr:row>
      <xdr:rowOff>114299</xdr:rowOff>
    </xdr:from>
    <xdr:to>
      <xdr:col>18</xdr:col>
      <xdr:colOff>0</xdr:colOff>
      <xdr:row>6</xdr:row>
      <xdr:rowOff>161924</xdr:rowOff>
    </xdr:to>
    <xdr:sp macro="" textlink="">
      <xdr:nvSpPr>
        <xdr:cNvPr id="23" name="TextBox 22"/>
        <xdr:cNvSpPr txBox="1"/>
      </xdr:nvSpPr>
      <xdr:spPr>
        <a:xfrm>
          <a:off x="8029575" y="1066799"/>
          <a:ext cx="13906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bg1"/>
              </a:solidFill>
            </a:rPr>
            <a:t>Achievement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ovt School" refreshedDate="46216.011257407408" createdVersion="4" refreshedVersion="4" minRefreshableVersion="3" recordCount="500">
  <cacheSource type="worksheet">
    <worksheetSource ref="A1:L501" sheet="SalesData"/>
  </cacheSource>
  <cacheFields count="13">
    <cacheField name="OrderID" numFmtId="0">
      <sharedItems containsSemiMixedTypes="0" containsString="0" containsNumber="1" containsInteger="1" minValue="1001" maxValue="1500" count="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OrderDate" numFmtId="164">
      <sharedItems containsSemiMixedTypes="0" containsNonDate="0" containsDate="1" containsString="0" minDate="2025-01-01T00:00:00" maxDate="2026-01-01T00:00:00" count="271">
        <d v="2025-08-19T00:00:00"/>
        <d v="2025-11-19T00:00:00"/>
        <d v="2025-01-13T00:00:00"/>
        <d v="2025-09-16T00:00:00"/>
        <d v="2025-05-01T00:00:00"/>
        <d v="2025-04-14T00:00:00"/>
        <d v="2025-02-14T00:00:00"/>
        <d v="2025-07-24T00:00:00"/>
        <d v="2025-05-14T00:00:00"/>
        <d v="2025-09-21T00:00:00"/>
        <d v="2025-06-28T00:00:00"/>
        <d v="2025-02-13T00:00:00"/>
        <d v="2025-06-19T00:00:00"/>
        <d v="2025-04-28T00:00:00"/>
        <d v="2025-01-18T00:00:00"/>
        <d v="2025-08-21T00:00:00"/>
        <d v="2025-08-30T00:00:00"/>
        <d v="2025-10-07T00:00:00"/>
        <d v="2025-02-10T00:00:00"/>
        <d v="2025-08-28T00:00:00"/>
        <d v="2025-11-01T00:00:00"/>
        <d v="2025-07-09T00:00:00"/>
        <d v="2025-11-02T00:00:00"/>
        <d v="2025-12-15T00:00:00"/>
        <d v="2025-09-05T00:00:00"/>
        <d v="2025-09-28T00:00:00"/>
        <d v="2025-10-19T00:00:00"/>
        <d v="2025-05-24T00:00:00"/>
        <d v="2025-01-15T00:00:00"/>
        <d v="2025-08-22T00:00:00"/>
        <d v="2025-10-21T00:00:00"/>
        <d v="2025-12-05T00:00:00"/>
        <d v="2025-09-04T00:00:00"/>
        <d v="2025-07-29T00:00:00"/>
        <d v="2025-01-28T00:00:00"/>
        <d v="2025-08-17T00:00:00"/>
        <d v="2025-04-11T00:00:00"/>
        <d v="2025-06-25T00:00:00"/>
        <d v="2025-06-04T00:00:00"/>
        <d v="2025-08-15T00:00:00"/>
        <d v="2025-12-23T00:00:00"/>
        <d v="2025-02-04T00:00:00"/>
        <d v="2025-09-18T00:00:00"/>
        <d v="2025-03-05T00:00:00"/>
        <d v="2025-08-05T00:00:00"/>
        <d v="2025-06-18T00:00:00"/>
        <d v="2025-05-13T00:00:00"/>
        <d v="2025-12-14T00:00:00"/>
        <d v="2025-02-21T00:00:00"/>
        <d v="2025-09-29T00:00:00"/>
        <d v="2025-01-27T00:00:00"/>
        <d v="2025-01-05T00:00:00"/>
        <d v="2025-04-06T00:00:00"/>
        <d v="2025-05-08T00:00:00"/>
        <d v="2025-05-12T00:00:00"/>
        <d v="2025-10-29T00:00:00"/>
        <d v="2025-11-18T00:00:00"/>
        <d v="2025-07-31T00:00:00"/>
        <d v="2025-08-29T00:00:00"/>
        <d v="2025-11-04T00:00:00"/>
        <d v="2025-01-02T00:00:00"/>
        <d v="2025-07-20T00:00:00"/>
        <d v="2025-08-08T00:00:00"/>
        <d v="2025-06-30T00:00:00"/>
        <d v="2025-01-22T00:00:00"/>
        <d v="2025-03-20T00:00:00"/>
        <d v="2025-05-30T00:00:00"/>
        <d v="2025-01-26T00:00:00"/>
        <d v="2025-12-03T00:00:00"/>
        <d v="2025-10-17T00:00:00"/>
        <d v="2025-03-26T00:00:00"/>
        <d v="2025-03-08T00:00:00"/>
        <d v="2025-07-26T00:00:00"/>
        <d v="2025-11-05T00:00:00"/>
        <d v="2025-07-11T00:00:00"/>
        <d v="2025-08-09T00:00:00"/>
        <d v="2025-10-09T00:00:00"/>
        <d v="2025-02-23T00:00:00"/>
        <d v="2025-09-22T00:00:00"/>
        <d v="2025-03-03T00:00:00"/>
        <d v="2025-11-22T00:00:00"/>
        <d v="2025-05-16T00:00:00"/>
        <d v="2025-01-23T00:00:00"/>
        <d v="2025-07-08T00:00:00"/>
        <d v="2025-12-27T00:00:00"/>
        <d v="2025-02-05T00:00:00"/>
        <d v="2025-08-10T00:00:00"/>
        <d v="2025-12-04T00:00:00"/>
        <d v="2025-11-24T00:00:00"/>
        <d v="2025-05-29T00:00:00"/>
        <d v="2025-10-05T00:00:00"/>
        <d v="2025-02-12T00:00:00"/>
        <d v="2025-12-09T00:00:00"/>
        <d v="2025-07-13T00:00:00"/>
        <d v="2025-06-20T00:00:00"/>
        <d v="2025-06-14T00:00:00"/>
        <d v="2025-08-23T00:00:00"/>
        <d v="2025-01-09T00:00:00"/>
        <d v="2025-06-11T00:00:00"/>
        <d v="2025-07-16T00:00:00"/>
        <d v="2025-01-20T00:00:00"/>
        <d v="2025-05-07T00:00:00"/>
        <d v="2025-07-28T00:00:00"/>
        <d v="2025-12-16T00:00:00"/>
        <d v="2025-07-12T00:00:00"/>
        <d v="2025-12-25T00:00:00"/>
        <d v="2025-12-29T00:00:00"/>
        <d v="2025-07-18T00:00:00"/>
        <d v="2025-03-17T00:00:00"/>
        <d v="2025-02-24T00:00:00"/>
        <d v="2025-12-28T00:00:00"/>
        <d v="2025-03-12T00:00:00"/>
        <d v="2025-02-07T00:00:00"/>
        <d v="2025-08-25T00:00:00"/>
        <d v="2025-06-27T00:00:00"/>
        <d v="2025-06-10T00:00:00"/>
        <d v="2025-01-25T00:00:00"/>
        <d v="2025-07-19T00:00:00"/>
        <d v="2025-04-26T00:00:00"/>
        <d v="2025-08-27T00:00:00"/>
        <d v="2025-10-28T00:00:00"/>
        <d v="2025-04-27T00:00:00"/>
        <d v="2025-05-04T00:00:00"/>
        <d v="2025-01-29T00:00:00"/>
        <d v="2025-07-03T00:00:00"/>
        <d v="2025-02-16T00:00:00"/>
        <d v="2025-04-17T00:00:00"/>
        <d v="2025-11-07T00:00:00"/>
        <d v="2025-08-14T00:00:00"/>
        <d v="2025-06-16T00:00:00"/>
        <d v="2025-11-12T00:00:00"/>
        <d v="2025-07-10T00:00:00"/>
        <d v="2025-11-29T00:00:00"/>
        <d v="2025-03-18T00:00:00"/>
        <d v="2025-07-15T00:00:00"/>
        <d v="2025-11-17T00:00:00"/>
        <d v="2025-01-19T00:00:00"/>
        <d v="2025-08-04T00:00:00"/>
        <d v="2025-05-25T00:00:00"/>
        <d v="2025-01-08T00:00:00"/>
        <d v="2025-01-06T00:00:00"/>
        <d v="2025-07-17T00:00:00"/>
        <d v="2025-02-27T00:00:00"/>
        <d v="2025-04-10T00:00:00"/>
        <d v="2025-02-02T00:00:00"/>
        <d v="2025-12-31T00:00:00"/>
        <d v="2025-06-29T00:00:00"/>
        <d v="2025-12-10T00:00:00"/>
        <d v="2025-05-17T00:00:00"/>
        <d v="2025-04-08T00:00:00"/>
        <d v="2025-12-24T00:00:00"/>
        <d v="2025-08-16T00:00:00"/>
        <d v="2025-12-19T00:00:00"/>
        <d v="2025-08-26T00:00:00"/>
        <d v="2025-03-01T00:00:00"/>
        <d v="2025-07-27T00:00:00"/>
        <d v="2025-09-26T00:00:00"/>
        <d v="2025-06-03T00:00:00"/>
        <d v="2025-12-18T00:00:00"/>
        <d v="2025-10-26T00:00:00"/>
        <d v="2025-08-24T00:00:00"/>
        <d v="2025-09-07T00:00:00"/>
        <d v="2025-04-13T00:00:00"/>
        <d v="2025-03-11T00:00:00"/>
        <d v="2025-09-27T00:00:00"/>
        <d v="2025-11-15T00:00:00"/>
        <d v="2025-11-23T00:00:00"/>
        <d v="2025-07-05T00:00:00"/>
        <d v="2025-03-04T00:00:00"/>
        <d v="2025-04-30T00:00:00"/>
        <d v="2025-11-21T00:00:00"/>
        <d v="2025-06-02T00:00:00"/>
        <d v="2025-11-25T00:00:00"/>
        <d v="2025-02-03T00:00:00"/>
        <d v="2025-12-08T00:00:00"/>
        <d v="2025-11-10T00:00:00"/>
        <d v="2025-09-03T00:00:00"/>
        <d v="2025-09-14T00:00:00"/>
        <d v="2025-01-16T00:00:00"/>
        <d v="2025-07-21T00:00:00"/>
        <d v="2025-06-08T00:00:00"/>
        <d v="2025-03-23T00:00:00"/>
        <d v="2025-02-19T00:00:00"/>
        <d v="2025-04-02T00:00:00"/>
        <d v="2025-10-04T00:00:00"/>
        <d v="2025-10-11T00:00:00"/>
        <d v="2025-08-31T00:00:00"/>
        <d v="2025-08-11T00:00:00"/>
        <d v="2025-09-20T00:00:00"/>
        <d v="2025-09-09T00:00:00"/>
        <d v="2025-09-02T00:00:00"/>
        <d v="2025-05-19T00:00:00"/>
        <d v="2025-11-13T00:00:00"/>
        <d v="2025-03-02T00:00:00"/>
        <d v="2025-01-03T00:00:00"/>
        <d v="2025-04-15T00:00:00"/>
        <d v="2025-03-31T00:00:00"/>
        <d v="2025-10-20T00:00:00"/>
        <d v="2025-11-08T00:00:00"/>
        <d v="2025-05-31T00:00:00"/>
        <d v="2025-09-13T00:00:00"/>
        <d v="2025-08-13T00:00:00"/>
        <d v="2025-09-01T00:00:00"/>
        <d v="2025-09-19T00:00:00"/>
        <d v="2025-06-06T00:00:00"/>
        <d v="2025-05-10T00:00:00"/>
        <d v="2025-01-01T00:00:00"/>
        <d v="2025-12-20T00:00:00"/>
        <d v="2025-01-04T00:00:00"/>
        <d v="2025-10-06T00:00:00"/>
        <d v="2025-03-16T00:00:00"/>
        <d v="2025-11-28T00:00:00"/>
        <d v="2025-01-24T00:00:00"/>
        <d v="2025-03-06T00:00:00"/>
        <d v="2025-03-30T00:00:00"/>
        <d v="2025-10-02T00:00:00"/>
        <d v="2025-06-05T00:00:00"/>
        <d v="2025-04-18T00:00:00"/>
        <d v="2025-03-10T00:00:00"/>
        <d v="2025-05-03T00:00:00"/>
        <d v="2025-03-21T00:00:00"/>
        <d v="2025-09-23T00:00:00"/>
        <d v="2025-10-14T00:00:00"/>
        <d v="2025-10-12T00:00:00"/>
        <d v="2025-04-01T00:00:00"/>
        <d v="2025-10-30T00:00:00"/>
        <d v="2025-09-12T00:00:00"/>
        <d v="2025-04-21T00:00:00"/>
        <d v="2025-05-15T00:00:00"/>
        <d v="2025-12-06T00:00:00"/>
        <d v="2025-10-13T00:00:00"/>
        <d v="2025-04-09T00:00:00"/>
        <d v="2025-11-03T00:00:00"/>
        <d v="2025-11-26T00:00:00"/>
        <d v="2025-01-12T00:00:00"/>
        <d v="2025-09-15T00:00:00"/>
        <d v="2025-05-20T00:00:00"/>
        <d v="2025-07-01T00:00:00"/>
        <d v="2025-05-09T00:00:00"/>
        <d v="2025-02-18T00:00:00"/>
        <d v="2025-01-11T00:00:00"/>
        <d v="2025-02-06T00:00:00"/>
        <d v="2025-04-07T00:00:00"/>
        <d v="2025-09-17T00:00:00"/>
        <d v="2025-11-30T00:00:00"/>
        <d v="2025-03-13T00:00:00"/>
        <d v="2025-05-02T00:00:00"/>
        <d v="2025-03-29T00:00:00"/>
        <d v="2025-08-03T00:00:00"/>
        <d v="2025-10-18T00:00:00"/>
        <d v="2025-01-31T00:00:00"/>
        <d v="2025-05-18T00:00:00"/>
        <d v="2025-03-27T00:00:00"/>
        <d v="2025-06-22T00:00:00"/>
        <d v="2025-01-10T00:00:00"/>
        <d v="2025-12-07T00:00:00"/>
        <d v="2025-02-22T00:00:00"/>
        <d v="2025-02-09T00:00:00"/>
        <d v="2025-10-25T00:00:00"/>
        <d v="2025-09-06T00:00:00"/>
        <d v="2025-09-08T00:00:00"/>
        <d v="2025-03-25T00:00:00"/>
        <d v="2025-06-21T00:00:00"/>
        <d v="2025-05-23T00:00:00"/>
        <d v="2025-11-14T00:00:00"/>
        <d v="2025-12-22T00:00:00"/>
        <d v="2025-04-05T00:00:00"/>
        <d v="2025-12-30T00:00:00"/>
        <d v="2025-10-16T00:00:00"/>
        <d v="2025-03-07T00:00:00"/>
        <d v="2025-04-12T00:00:00"/>
      </sharedItems>
      <fieldGroup par="12" base="1">
        <rangePr groupBy="months" startDate="2025-01-01T00:00:00" endDate="2026-01-01T00:00:00"/>
        <groupItems count="14">
          <s v="&lt;1/1/2025"/>
          <s v="Jan"/>
          <s v="Feb"/>
          <s v="Mar"/>
          <s v="Apr"/>
          <s v="May"/>
          <s v="Jun"/>
          <s v="Jul"/>
          <s v="Aug"/>
          <s v="Sep"/>
          <s v="Oct"/>
          <s v="Nov"/>
          <s v="Dec"/>
          <s v="&gt;1/1/2026"/>
        </groupItems>
      </fieldGroup>
    </cacheField>
    <cacheField name="Region" numFmtId="0">
      <sharedItems count="4">
        <s v="South"/>
        <s v="East"/>
        <s v="North"/>
        <s v="West"/>
      </sharedItems>
    </cacheField>
    <cacheField name="Category" numFmtId="0">
      <sharedItems count="3">
        <s v="Electronics"/>
        <s v="Furniture"/>
        <s v="Office Supplies"/>
      </sharedItems>
    </cacheField>
    <cacheField name="Product" numFmtId="0">
      <sharedItems count="10">
        <s v="Laptop"/>
        <s v="Desk"/>
        <s v="Monitor"/>
        <s v="Stapler"/>
        <s v="Paper"/>
        <s v="Chair"/>
        <s v="Cabinet"/>
        <s v="Keyboard"/>
        <s v="Mouse"/>
        <s v="Pen"/>
      </sharedItems>
    </cacheField>
    <cacheField name="Salesperson" numFmtId="0">
      <sharedItems count="6">
        <s v="Sara"/>
        <s v="Usman"/>
        <s v="Ahmed"/>
        <s v="Ali"/>
        <s v="Ayesha"/>
        <s v="Fatima"/>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10" maxValue="499"/>
    </cacheField>
    <cacheField name="Sales" numFmtId="0">
      <sharedItems containsSemiMixedTypes="0" containsString="0" containsNumber="1" containsInteger="1" minValue="23" maxValue="4940"/>
    </cacheField>
    <cacheField name="TargetSales" numFmtId="0">
      <sharedItems containsSemiMixedTypes="0" containsString="0" containsNumber="1" containsInteger="1" minValue="21" maxValue="5473"/>
    </cacheField>
    <cacheField name="CustomerType" numFmtId="0">
      <sharedItems count="2">
        <s v="Wholesale"/>
        <s v="Retail"/>
      </sharedItems>
    </cacheField>
    <cacheField name="Achievement Target" numFmtId="9">
      <sharedItems containsSemiMixedTypes="0" containsString="0" containsNumber="1" minValue="0.77108433734939763" maxValue="1.2497670083876979"/>
    </cacheField>
    <cacheField name="Years" numFmtId="0" databaseField="0">
      <fieldGroup base="1">
        <rangePr groupBy="years" startDate="2025-01-01T00:00:00" endDate="2026-01-01T00:00:00"/>
        <groupItems count="3">
          <s v="&lt;1/1/2025"/>
          <s v="2025"/>
          <s v="&gt;1/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n v="9"/>
    <n v="176"/>
    <n v="1584"/>
    <n v="1951"/>
    <x v="0"/>
    <n v="0.81189133777549971"/>
  </r>
  <r>
    <x v="1"/>
    <x v="1"/>
    <x v="1"/>
    <x v="1"/>
    <x v="1"/>
    <x v="1"/>
    <n v="9"/>
    <n v="405"/>
    <n v="3645"/>
    <n v="3523"/>
    <x v="1"/>
    <n v="1.0346295770650014"/>
  </r>
  <r>
    <x v="2"/>
    <x v="2"/>
    <x v="0"/>
    <x v="0"/>
    <x v="2"/>
    <x v="2"/>
    <n v="2"/>
    <n v="152"/>
    <n v="304"/>
    <n v="373"/>
    <x v="1"/>
    <n v="0.81501340482573725"/>
  </r>
  <r>
    <x v="3"/>
    <x v="3"/>
    <x v="0"/>
    <x v="2"/>
    <x v="3"/>
    <x v="0"/>
    <n v="10"/>
    <n v="494"/>
    <n v="4940"/>
    <n v="5312"/>
    <x v="0"/>
    <n v="0.92996987951807231"/>
  </r>
  <r>
    <x v="4"/>
    <x v="4"/>
    <x v="2"/>
    <x v="2"/>
    <x v="4"/>
    <x v="1"/>
    <n v="9"/>
    <n v="178"/>
    <n v="1602"/>
    <n v="1745"/>
    <x v="0"/>
    <n v="0.9180515759312321"/>
  </r>
  <r>
    <x v="5"/>
    <x v="5"/>
    <x v="2"/>
    <x v="1"/>
    <x v="5"/>
    <x v="1"/>
    <n v="4"/>
    <n v="298"/>
    <n v="1192"/>
    <n v="1418"/>
    <x v="1"/>
    <n v="0.84062059238363895"/>
  </r>
  <r>
    <x v="6"/>
    <x v="6"/>
    <x v="3"/>
    <x v="0"/>
    <x v="2"/>
    <x v="3"/>
    <n v="4"/>
    <n v="338"/>
    <n v="1352"/>
    <n v="1207"/>
    <x v="0"/>
    <n v="1.1201325600662799"/>
  </r>
  <r>
    <x v="7"/>
    <x v="7"/>
    <x v="0"/>
    <x v="1"/>
    <x v="6"/>
    <x v="4"/>
    <n v="7"/>
    <n v="377"/>
    <n v="2639"/>
    <n v="2874"/>
    <x v="0"/>
    <n v="0.91823242867084198"/>
  </r>
  <r>
    <x v="8"/>
    <x v="8"/>
    <x v="0"/>
    <x v="0"/>
    <x v="2"/>
    <x v="5"/>
    <n v="7"/>
    <n v="466"/>
    <n v="3262"/>
    <n v="4014"/>
    <x v="1"/>
    <n v="0.8126557050323866"/>
  </r>
  <r>
    <x v="9"/>
    <x v="9"/>
    <x v="0"/>
    <x v="1"/>
    <x v="5"/>
    <x v="5"/>
    <n v="1"/>
    <n v="469"/>
    <n v="469"/>
    <n v="516"/>
    <x v="1"/>
    <n v="0.90891472868217049"/>
  </r>
  <r>
    <x v="10"/>
    <x v="10"/>
    <x v="3"/>
    <x v="0"/>
    <x v="2"/>
    <x v="1"/>
    <n v="4"/>
    <n v="250"/>
    <n v="1000"/>
    <n v="1115"/>
    <x v="0"/>
    <n v="0.89686098654708524"/>
  </r>
  <r>
    <x v="11"/>
    <x v="9"/>
    <x v="2"/>
    <x v="0"/>
    <x v="2"/>
    <x v="0"/>
    <n v="1"/>
    <n v="317"/>
    <n v="317"/>
    <n v="265"/>
    <x v="0"/>
    <n v="1.1962264150943396"/>
  </r>
  <r>
    <x v="12"/>
    <x v="11"/>
    <x v="0"/>
    <x v="0"/>
    <x v="0"/>
    <x v="5"/>
    <n v="10"/>
    <n v="235"/>
    <n v="2350"/>
    <n v="2188"/>
    <x v="0"/>
    <n v="1.0740402193784278"/>
  </r>
  <r>
    <x v="13"/>
    <x v="12"/>
    <x v="1"/>
    <x v="0"/>
    <x v="0"/>
    <x v="0"/>
    <n v="6"/>
    <n v="400"/>
    <n v="2400"/>
    <n v="2323"/>
    <x v="1"/>
    <n v="1.0331467929401636"/>
  </r>
  <r>
    <x v="14"/>
    <x v="13"/>
    <x v="3"/>
    <x v="2"/>
    <x v="4"/>
    <x v="5"/>
    <n v="1"/>
    <n v="464"/>
    <n v="464"/>
    <n v="522"/>
    <x v="0"/>
    <n v="0.88888888888888884"/>
  </r>
  <r>
    <x v="15"/>
    <x v="14"/>
    <x v="3"/>
    <x v="0"/>
    <x v="7"/>
    <x v="1"/>
    <n v="6"/>
    <n v="158"/>
    <n v="948"/>
    <n v="977"/>
    <x v="1"/>
    <n v="0.97031729785056298"/>
  </r>
  <r>
    <x v="16"/>
    <x v="15"/>
    <x v="3"/>
    <x v="2"/>
    <x v="3"/>
    <x v="5"/>
    <n v="10"/>
    <n v="229"/>
    <n v="2290"/>
    <n v="2166"/>
    <x v="0"/>
    <n v="1.0572483841181901"/>
  </r>
  <r>
    <x v="17"/>
    <x v="16"/>
    <x v="1"/>
    <x v="1"/>
    <x v="5"/>
    <x v="5"/>
    <n v="4"/>
    <n v="81"/>
    <n v="324"/>
    <n v="377"/>
    <x v="0"/>
    <n v="0.85941644562334218"/>
  </r>
  <r>
    <x v="18"/>
    <x v="17"/>
    <x v="3"/>
    <x v="2"/>
    <x v="3"/>
    <x v="1"/>
    <n v="3"/>
    <n v="132"/>
    <n v="396"/>
    <n v="448"/>
    <x v="0"/>
    <n v="0.8839285714285714"/>
  </r>
  <r>
    <x v="19"/>
    <x v="18"/>
    <x v="0"/>
    <x v="2"/>
    <x v="3"/>
    <x v="4"/>
    <n v="3"/>
    <n v="44"/>
    <n v="132"/>
    <n v="151"/>
    <x v="0"/>
    <n v="0.8741721854304636"/>
  </r>
  <r>
    <x v="20"/>
    <x v="19"/>
    <x v="3"/>
    <x v="0"/>
    <x v="8"/>
    <x v="5"/>
    <n v="1"/>
    <n v="247"/>
    <n v="247"/>
    <n v="301"/>
    <x v="1"/>
    <n v="0.82059800664451832"/>
  </r>
  <r>
    <x v="21"/>
    <x v="20"/>
    <x v="0"/>
    <x v="0"/>
    <x v="8"/>
    <x v="3"/>
    <n v="5"/>
    <n v="483"/>
    <n v="2415"/>
    <n v="2528"/>
    <x v="1"/>
    <n v="0.95530063291139244"/>
  </r>
  <r>
    <x v="22"/>
    <x v="21"/>
    <x v="1"/>
    <x v="2"/>
    <x v="3"/>
    <x v="3"/>
    <n v="9"/>
    <n v="74"/>
    <n v="666"/>
    <n v="547"/>
    <x v="1"/>
    <n v="1.2175502742230346"/>
  </r>
  <r>
    <x v="23"/>
    <x v="22"/>
    <x v="1"/>
    <x v="2"/>
    <x v="4"/>
    <x v="2"/>
    <n v="9"/>
    <n v="131"/>
    <n v="1179"/>
    <n v="1305"/>
    <x v="1"/>
    <n v="0.90344827586206899"/>
  </r>
  <r>
    <x v="24"/>
    <x v="23"/>
    <x v="1"/>
    <x v="1"/>
    <x v="1"/>
    <x v="2"/>
    <n v="7"/>
    <n v="497"/>
    <n v="3479"/>
    <n v="4502"/>
    <x v="1"/>
    <n v="0.772767658818303"/>
  </r>
  <r>
    <x v="25"/>
    <x v="24"/>
    <x v="0"/>
    <x v="2"/>
    <x v="9"/>
    <x v="3"/>
    <n v="9"/>
    <n v="449"/>
    <n v="4041"/>
    <n v="4013"/>
    <x v="0"/>
    <n v="1.0069773236979815"/>
  </r>
  <r>
    <x v="26"/>
    <x v="25"/>
    <x v="3"/>
    <x v="1"/>
    <x v="1"/>
    <x v="4"/>
    <n v="5"/>
    <n v="301"/>
    <n v="1505"/>
    <n v="1420"/>
    <x v="1"/>
    <n v="1.0598591549295775"/>
  </r>
  <r>
    <x v="27"/>
    <x v="26"/>
    <x v="1"/>
    <x v="2"/>
    <x v="9"/>
    <x v="3"/>
    <n v="9"/>
    <n v="468"/>
    <n v="4212"/>
    <n v="3436"/>
    <x v="1"/>
    <n v="1.2258440046565775"/>
  </r>
  <r>
    <x v="28"/>
    <x v="27"/>
    <x v="2"/>
    <x v="2"/>
    <x v="9"/>
    <x v="5"/>
    <n v="2"/>
    <n v="101"/>
    <n v="202"/>
    <n v="237"/>
    <x v="1"/>
    <n v="0.85232067510548526"/>
  </r>
  <r>
    <x v="29"/>
    <x v="28"/>
    <x v="2"/>
    <x v="1"/>
    <x v="6"/>
    <x v="3"/>
    <n v="6"/>
    <n v="417"/>
    <n v="2502"/>
    <n v="2759"/>
    <x v="0"/>
    <n v="0.90685030808263867"/>
  </r>
  <r>
    <x v="30"/>
    <x v="14"/>
    <x v="3"/>
    <x v="0"/>
    <x v="0"/>
    <x v="0"/>
    <n v="7"/>
    <n v="351"/>
    <n v="2457"/>
    <n v="2004"/>
    <x v="1"/>
    <n v="1.2260479041916168"/>
  </r>
  <r>
    <x v="31"/>
    <x v="29"/>
    <x v="3"/>
    <x v="2"/>
    <x v="3"/>
    <x v="0"/>
    <n v="6"/>
    <n v="475"/>
    <n v="2850"/>
    <n v="2432"/>
    <x v="0"/>
    <n v="1.171875"/>
  </r>
  <r>
    <x v="32"/>
    <x v="30"/>
    <x v="3"/>
    <x v="0"/>
    <x v="8"/>
    <x v="4"/>
    <n v="7"/>
    <n v="422"/>
    <n v="2954"/>
    <n v="2466"/>
    <x v="0"/>
    <n v="1.1978913219789131"/>
  </r>
  <r>
    <x v="33"/>
    <x v="31"/>
    <x v="2"/>
    <x v="0"/>
    <x v="7"/>
    <x v="3"/>
    <n v="5"/>
    <n v="367"/>
    <n v="1835"/>
    <n v="1615"/>
    <x v="0"/>
    <n v="1.1362229102167183"/>
  </r>
  <r>
    <x v="34"/>
    <x v="23"/>
    <x v="2"/>
    <x v="1"/>
    <x v="5"/>
    <x v="1"/>
    <n v="5"/>
    <n v="357"/>
    <n v="1785"/>
    <n v="1919"/>
    <x v="1"/>
    <n v="0.9301719645648775"/>
  </r>
  <r>
    <x v="35"/>
    <x v="32"/>
    <x v="3"/>
    <x v="0"/>
    <x v="8"/>
    <x v="2"/>
    <n v="6"/>
    <n v="118"/>
    <n v="708"/>
    <n v="804"/>
    <x v="1"/>
    <n v="0.88059701492537312"/>
  </r>
  <r>
    <x v="36"/>
    <x v="33"/>
    <x v="1"/>
    <x v="2"/>
    <x v="9"/>
    <x v="2"/>
    <n v="2"/>
    <n v="13"/>
    <n v="26"/>
    <n v="32"/>
    <x v="0"/>
    <n v="0.8125"/>
  </r>
  <r>
    <x v="37"/>
    <x v="34"/>
    <x v="1"/>
    <x v="1"/>
    <x v="5"/>
    <x v="3"/>
    <n v="4"/>
    <n v="403"/>
    <n v="1612"/>
    <n v="1598"/>
    <x v="1"/>
    <n v="1.0087609511889863"/>
  </r>
  <r>
    <x v="38"/>
    <x v="35"/>
    <x v="3"/>
    <x v="1"/>
    <x v="6"/>
    <x v="2"/>
    <n v="6"/>
    <n v="454"/>
    <n v="2724"/>
    <n v="3441"/>
    <x v="0"/>
    <n v="0.79163034001743682"/>
  </r>
  <r>
    <x v="39"/>
    <x v="36"/>
    <x v="0"/>
    <x v="2"/>
    <x v="9"/>
    <x v="1"/>
    <n v="5"/>
    <n v="316"/>
    <n v="1580"/>
    <n v="1532"/>
    <x v="1"/>
    <n v="1.031331592689295"/>
  </r>
  <r>
    <x v="40"/>
    <x v="37"/>
    <x v="2"/>
    <x v="2"/>
    <x v="9"/>
    <x v="5"/>
    <n v="6"/>
    <n v="406"/>
    <n v="2436"/>
    <n v="2889"/>
    <x v="1"/>
    <n v="0.84319833852544135"/>
  </r>
  <r>
    <x v="41"/>
    <x v="38"/>
    <x v="2"/>
    <x v="2"/>
    <x v="9"/>
    <x v="5"/>
    <n v="7"/>
    <n v="376"/>
    <n v="2632"/>
    <n v="2363"/>
    <x v="0"/>
    <n v="1.1138383410918324"/>
  </r>
  <r>
    <x v="42"/>
    <x v="39"/>
    <x v="1"/>
    <x v="2"/>
    <x v="9"/>
    <x v="5"/>
    <n v="7"/>
    <n v="431"/>
    <n v="3017"/>
    <n v="3911"/>
    <x v="0"/>
    <n v="0.77141396062388135"/>
  </r>
  <r>
    <x v="43"/>
    <x v="40"/>
    <x v="0"/>
    <x v="2"/>
    <x v="3"/>
    <x v="1"/>
    <n v="9"/>
    <n v="44"/>
    <n v="396"/>
    <n v="508"/>
    <x v="0"/>
    <n v="0.77952755905511806"/>
  </r>
  <r>
    <x v="44"/>
    <x v="41"/>
    <x v="3"/>
    <x v="1"/>
    <x v="6"/>
    <x v="3"/>
    <n v="8"/>
    <n v="145"/>
    <n v="1160"/>
    <n v="1293"/>
    <x v="0"/>
    <n v="0.897138437741686"/>
  </r>
  <r>
    <x v="45"/>
    <x v="42"/>
    <x v="3"/>
    <x v="0"/>
    <x v="8"/>
    <x v="1"/>
    <n v="7"/>
    <n v="94"/>
    <n v="658"/>
    <n v="694"/>
    <x v="1"/>
    <n v="0.94812680115273773"/>
  </r>
  <r>
    <x v="46"/>
    <x v="43"/>
    <x v="3"/>
    <x v="2"/>
    <x v="9"/>
    <x v="5"/>
    <n v="6"/>
    <n v="431"/>
    <n v="2586"/>
    <n v="2132"/>
    <x v="1"/>
    <n v="1.2129455909943714"/>
  </r>
  <r>
    <x v="47"/>
    <x v="44"/>
    <x v="0"/>
    <x v="1"/>
    <x v="5"/>
    <x v="5"/>
    <n v="6"/>
    <n v="170"/>
    <n v="1020"/>
    <n v="1273"/>
    <x v="0"/>
    <n v="0.80125687352710129"/>
  </r>
  <r>
    <x v="48"/>
    <x v="35"/>
    <x v="3"/>
    <x v="1"/>
    <x v="6"/>
    <x v="3"/>
    <n v="6"/>
    <n v="232"/>
    <n v="1392"/>
    <n v="1646"/>
    <x v="1"/>
    <n v="0.84568651275820172"/>
  </r>
  <r>
    <x v="49"/>
    <x v="23"/>
    <x v="3"/>
    <x v="0"/>
    <x v="0"/>
    <x v="4"/>
    <n v="9"/>
    <n v="141"/>
    <n v="1269"/>
    <n v="1077"/>
    <x v="0"/>
    <n v="1.1782729805013927"/>
  </r>
  <r>
    <x v="50"/>
    <x v="45"/>
    <x v="3"/>
    <x v="2"/>
    <x v="4"/>
    <x v="5"/>
    <n v="7"/>
    <n v="435"/>
    <n v="3045"/>
    <n v="3910"/>
    <x v="0"/>
    <n v="0.77877237851662406"/>
  </r>
  <r>
    <x v="51"/>
    <x v="46"/>
    <x v="3"/>
    <x v="1"/>
    <x v="6"/>
    <x v="3"/>
    <n v="9"/>
    <n v="418"/>
    <n v="3762"/>
    <n v="3830"/>
    <x v="0"/>
    <n v="0.98224543080939952"/>
  </r>
  <r>
    <x v="52"/>
    <x v="47"/>
    <x v="2"/>
    <x v="2"/>
    <x v="3"/>
    <x v="1"/>
    <n v="8"/>
    <n v="47"/>
    <n v="376"/>
    <n v="460"/>
    <x v="0"/>
    <n v="0.81739130434782614"/>
  </r>
  <r>
    <x v="53"/>
    <x v="48"/>
    <x v="1"/>
    <x v="0"/>
    <x v="7"/>
    <x v="0"/>
    <n v="8"/>
    <n v="387"/>
    <n v="3096"/>
    <n v="2482"/>
    <x v="1"/>
    <n v="1.2473811442385174"/>
  </r>
  <r>
    <x v="54"/>
    <x v="49"/>
    <x v="0"/>
    <x v="2"/>
    <x v="4"/>
    <x v="2"/>
    <n v="8"/>
    <n v="411"/>
    <n v="3288"/>
    <n v="4055"/>
    <x v="1"/>
    <n v="0.81085080147965471"/>
  </r>
  <r>
    <x v="55"/>
    <x v="50"/>
    <x v="3"/>
    <x v="1"/>
    <x v="6"/>
    <x v="1"/>
    <n v="10"/>
    <n v="11"/>
    <n v="110"/>
    <n v="99"/>
    <x v="1"/>
    <n v="1.1111111111111112"/>
  </r>
  <r>
    <x v="56"/>
    <x v="51"/>
    <x v="3"/>
    <x v="0"/>
    <x v="8"/>
    <x v="1"/>
    <n v="5"/>
    <n v="121"/>
    <n v="605"/>
    <n v="575"/>
    <x v="0"/>
    <n v="1.0521739130434782"/>
  </r>
  <r>
    <x v="57"/>
    <x v="52"/>
    <x v="3"/>
    <x v="2"/>
    <x v="9"/>
    <x v="0"/>
    <n v="1"/>
    <n v="386"/>
    <n v="386"/>
    <n v="387"/>
    <x v="1"/>
    <n v="0.99741602067183466"/>
  </r>
  <r>
    <x v="58"/>
    <x v="53"/>
    <x v="3"/>
    <x v="2"/>
    <x v="3"/>
    <x v="2"/>
    <n v="9"/>
    <n v="488"/>
    <n v="4392"/>
    <n v="4595"/>
    <x v="1"/>
    <n v="0.95582154515778017"/>
  </r>
  <r>
    <x v="59"/>
    <x v="54"/>
    <x v="0"/>
    <x v="0"/>
    <x v="8"/>
    <x v="2"/>
    <n v="5"/>
    <n v="406"/>
    <n v="2030"/>
    <n v="1784"/>
    <x v="1"/>
    <n v="1.1378923766816142"/>
  </r>
  <r>
    <x v="60"/>
    <x v="55"/>
    <x v="1"/>
    <x v="1"/>
    <x v="5"/>
    <x v="5"/>
    <n v="9"/>
    <n v="142"/>
    <n v="1278"/>
    <n v="1210"/>
    <x v="1"/>
    <n v="1.0561983471074381"/>
  </r>
  <r>
    <x v="61"/>
    <x v="56"/>
    <x v="1"/>
    <x v="2"/>
    <x v="9"/>
    <x v="5"/>
    <n v="4"/>
    <n v="361"/>
    <n v="1444"/>
    <n v="1464"/>
    <x v="1"/>
    <n v="0.98633879781420764"/>
  </r>
  <r>
    <x v="62"/>
    <x v="53"/>
    <x v="2"/>
    <x v="0"/>
    <x v="0"/>
    <x v="4"/>
    <n v="2"/>
    <n v="327"/>
    <n v="654"/>
    <n v="780"/>
    <x v="1"/>
    <n v="0.83846153846153848"/>
  </r>
  <r>
    <x v="63"/>
    <x v="16"/>
    <x v="3"/>
    <x v="0"/>
    <x v="0"/>
    <x v="0"/>
    <n v="2"/>
    <n v="22"/>
    <n v="44"/>
    <n v="43"/>
    <x v="0"/>
    <n v="1.0232558139534884"/>
  </r>
  <r>
    <x v="64"/>
    <x v="35"/>
    <x v="3"/>
    <x v="1"/>
    <x v="5"/>
    <x v="2"/>
    <n v="3"/>
    <n v="448"/>
    <n v="1344"/>
    <n v="1555"/>
    <x v="0"/>
    <n v="0.86430868167202568"/>
  </r>
  <r>
    <x v="65"/>
    <x v="3"/>
    <x v="0"/>
    <x v="0"/>
    <x v="2"/>
    <x v="4"/>
    <n v="3"/>
    <n v="387"/>
    <n v="1161"/>
    <n v="1211"/>
    <x v="1"/>
    <n v="0.95871180842279113"/>
  </r>
  <r>
    <x v="66"/>
    <x v="57"/>
    <x v="3"/>
    <x v="2"/>
    <x v="3"/>
    <x v="5"/>
    <n v="4"/>
    <n v="147"/>
    <n v="588"/>
    <n v="733"/>
    <x v="0"/>
    <n v="0.80218281036834926"/>
  </r>
  <r>
    <x v="67"/>
    <x v="32"/>
    <x v="0"/>
    <x v="2"/>
    <x v="9"/>
    <x v="4"/>
    <n v="8"/>
    <n v="235"/>
    <n v="1880"/>
    <n v="1755"/>
    <x v="0"/>
    <n v="1.0712250712250713"/>
  </r>
  <r>
    <x v="68"/>
    <x v="12"/>
    <x v="0"/>
    <x v="0"/>
    <x v="7"/>
    <x v="2"/>
    <n v="8"/>
    <n v="407"/>
    <n v="3256"/>
    <n v="2617"/>
    <x v="0"/>
    <n v="1.2441727168513566"/>
  </r>
  <r>
    <x v="69"/>
    <x v="53"/>
    <x v="3"/>
    <x v="2"/>
    <x v="9"/>
    <x v="5"/>
    <n v="8"/>
    <n v="367"/>
    <n v="2936"/>
    <n v="3135"/>
    <x v="0"/>
    <n v="0.9365231259968102"/>
  </r>
  <r>
    <x v="70"/>
    <x v="58"/>
    <x v="3"/>
    <x v="2"/>
    <x v="9"/>
    <x v="0"/>
    <n v="6"/>
    <n v="363"/>
    <n v="2178"/>
    <n v="1965"/>
    <x v="0"/>
    <n v="1.1083969465648855"/>
  </r>
  <r>
    <x v="71"/>
    <x v="32"/>
    <x v="0"/>
    <x v="1"/>
    <x v="1"/>
    <x v="5"/>
    <n v="10"/>
    <n v="393"/>
    <n v="3930"/>
    <n v="4589"/>
    <x v="0"/>
    <n v="0.85639572891697535"/>
  </r>
  <r>
    <x v="72"/>
    <x v="59"/>
    <x v="2"/>
    <x v="0"/>
    <x v="0"/>
    <x v="1"/>
    <n v="4"/>
    <n v="370"/>
    <n v="1480"/>
    <n v="1213"/>
    <x v="0"/>
    <n v="1.2201154163231658"/>
  </r>
  <r>
    <x v="73"/>
    <x v="60"/>
    <x v="1"/>
    <x v="2"/>
    <x v="4"/>
    <x v="3"/>
    <n v="10"/>
    <n v="211"/>
    <n v="2110"/>
    <n v="2413"/>
    <x v="0"/>
    <n v="0.8744301699129714"/>
  </r>
  <r>
    <x v="74"/>
    <x v="61"/>
    <x v="1"/>
    <x v="0"/>
    <x v="8"/>
    <x v="3"/>
    <n v="10"/>
    <n v="350"/>
    <n v="3500"/>
    <n v="3056"/>
    <x v="1"/>
    <n v="1.1452879581151831"/>
  </r>
  <r>
    <x v="75"/>
    <x v="43"/>
    <x v="3"/>
    <x v="1"/>
    <x v="1"/>
    <x v="4"/>
    <n v="2"/>
    <n v="138"/>
    <n v="276"/>
    <n v="304"/>
    <x v="1"/>
    <n v="0.90789473684210531"/>
  </r>
  <r>
    <x v="76"/>
    <x v="62"/>
    <x v="2"/>
    <x v="2"/>
    <x v="3"/>
    <x v="0"/>
    <n v="10"/>
    <n v="382"/>
    <n v="3820"/>
    <n v="4718"/>
    <x v="1"/>
    <n v="0.80966511233573546"/>
  </r>
  <r>
    <x v="77"/>
    <x v="63"/>
    <x v="1"/>
    <x v="2"/>
    <x v="3"/>
    <x v="3"/>
    <n v="7"/>
    <n v="351"/>
    <n v="2457"/>
    <n v="2011"/>
    <x v="0"/>
    <n v="1.2217802088513177"/>
  </r>
  <r>
    <x v="78"/>
    <x v="64"/>
    <x v="2"/>
    <x v="2"/>
    <x v="4"/>
    <x v="5"/>
    <n v="4"/>
    <n v="462"/>
    <n v="1848"/>
    <n v="2208"/>
    <x v="0"/>
    <n v="0.83695652173913049"/>
  </r>
  <r>
    <x v="79"/>
    <x v="65"/>
    <x v="2"/>
    <x v="1"/>
    <x v="1"/>
    <x v="2"/>
    <n v="3"/>
    <n v="319"/>
    <n v="957"/>
    <n v="1211"/>
    <x v="0"/>
    <n v="0.79025598678777864"/>
  </r>
  <r>
    <x v="80"/>
    <x v="66"/>
    <x v="0"/>
    <x v="1"/>
    <x v="1"/>
    <x v="4"/>
    <n v="10"/>
    <n v="348"/>
    <n v="3480"/>
    <n v="3494"/>
    <x v="1"/>
    <n v="0.99599313108185461"/>
  </r>
  <r>
    <x v="81"/>
    <x v="67"/>
    <x v="0"/>
    <x v="0"/>
    <x v="8"/>
    <x v="4"/>
    <n v="9"/>
    <n v="29"/>
    <n v="261"/>
    <n v="296"/>
    <x v="1"/>
    <n v="0.8817567567567568"/>
  </r>
  <r>
    <x v="82"/>
    <x v="68"/>
    <x v="3"/>
    <x v="1"/>
    <x v="1"/>
    <x v="2"/>
    <n v="3"/>
    <n v="194"/>
    <n v="582"/>
    <n v="499"/>
    <x v="1"/>
    <n v="1.1663326653306614"/>
  </r>
  <r>
    <x v="83"/>
    <x v="69"/>
    <x v="0"/>
    <x v="2"/>
    <x v="4"/>
    <x v="5"/>
    <n v="9"/>
    <n v="334"/>
    <n v="3006"/>
    <n v="3663"/>
    <x v="1"/>
    <n v="0.82063882063882065"/>
  </r>
  <r>
    <x v="84"/>
    <x v="70"/>
    <x v="3"/>
    <x v="1"/>
    <x v="6"/>
    <x v="5"/>
    <n v="8"/>
    <n v="362"/>
    <n v="2896"/>
    <n v="3086"/>
    <x v="0"/>
    <n v="0.93843162670123137"/>
  </r>
  <r>
    <x v="85"/>
    <x v="71"/>
    <x v="3"/>
    <x v="1"/>
    <x v="1"/>
    <x v="0"/>
    <n v="5"/>
    <n v="161"/>
    <n v="805"/>
    <n v="847"/>
    <x v="1"/>
    <n v="0.95041322314049592"/>
  </r>
  <r>
    <x v="86"/>
    <x v="72"/>
    <x v="2"/>
    <x v="2"/>
    <x v="3"/>
    <x v="1"/>
    <n v="7"/>
    <n v="22"/>
    <n v="154"/>
    <n v="150"/>
    <x v="1"/>
    <n v="1.0266666666666666"/>
  </r>
  <r>
    <x v="87"/>
    <x v="4"/>
    <x v="1"/>
    <x v="2"/>
    <x v="4"/>
    <x v="3"/>
    <n v="2"/>
    <n v="401"/>
    <n v="802"/>
    <n v="739"/>
    <x v="0"/>
    <n v="1.0852503382949932"/>
  </r>
  <r>
    <x v="88"/>
    <x v="73"/>
    <x v="1"/>
    <x v="2"/>
    <x v="4"/>
    <x v="4"/>
    <n v="8"/>
    <n v="416"/>
    <n v="3328"/>
    <n v="3985"/>
    <x v="1"/>
    <n v="0.83513174404015056"/>
  </r>
  <r>
    <x v="89"/>
    <x v="74"/>
    <x v="2"/>
    <x v="0"/>
    <x v="7"/>
    <x v="4"/>
    <n v="4"/>
    <n v="456"/>
    <n v="1824"/>
    <n v="2116"/>
    <x v="1"/>
    <n v="0.8620037807183365"/>
  </r>
  <r>
    <x v="90"/>
    <x v="75"/>
    <x v="2"/>
    <x v="0"/>
    <x v="2"/>
    <x v="0"/>
    <n v="7"/>
    <n v="499"/>
    <n v="3493"/>
    <n v="3885"/>
    <x v="1"/>
    <n v="0.89909909909909913"/>
  </r>
  <r>
    <x v="91"/>
    <x v="76"/>
    <x v="0"/>
    <x v="1"/>
    <x v="6"/>
    <x v="5"/>
    <n v="6"/>
    <n v="203"/>
    <n v="1218"/>
    <n v="1185"/>
    <x v="1"/>
    <n v="1.0278481012658227"/>
  </r>
  <r>
    <x v="92"/>
    <x v="77"/>
    <x v="0"/>
    <x v="1"/>
    <x v="6"/>
    <x v="0"/>
    <n v="4"/>
    <n v="235"/>
    <n v="940"/>
    <n v="760"/>
    <x v="0"/>
    <n v="1.236842105263158"/>
  </r>
  <r>
    <x v="93"/>
    <x v="57"/>
    <x v="2"/>
    <x v="1"/>
    <x v="1"/>
    <x v="4"/>
    <n v="9"/>
    <n v="317"/>
    <n v="2853"/>
    <n v="2847"/>
    <x v="1"/>
    <n v="1.0021074815595363"/>
  </r>
  <r>
    <x v="94"/>
    <x v="78"/>
    <x v="1"/>
    <x v="0"/>
    <x v="7"/>
    <x v="0"/>
    <n v="2"/>
    <n v="447"/>
    <n v="894"/>
    <n v="1158"/>
    <x v="1"/>
    <n v="0.772020725388601"/>
  </r>
  <r>
    <x v="95"/>
    <x v="79"/>
    <x v="3"/>
    <x v="0"/>
    <x v="8"/>
    <x v="5"/>
    <n v="7"/>
    <n v="331"/>
    <n v="2317"/>
    <n v="1926"/>
    <x v="1"/>
    <n v="1.2030114226375908"/>
  </r>
  <r>
    <x v="96"/>
    <x v="80"/>
    <x v="0"/>
    <x v="1"/>
    <x v="6"/>
    <x v="4"/>
    <n v="5"/>
    <n v="385"/>
    <n v="1925"/>
    <n v="1600"/>
    <x v="1"/>
    <n v="1.203125"/>
  </r>
  <r>
    <x v="97"/>
    <x v="81"/>
    <x v="0"/>
    <x v="2"/>
    <x v="9"/>
    <x v="0"/>
    <n v="7"/>
    <n v="360"/>
    <n v="2520"/>
    <n v="2897"/>
    <x v="0"/>
    <n v="0.86986537797721786"/>
  </r>
  <r>
    <x v="98"/>
    <x v="82"/>
    <x v="1"/>
    <x v="1"/>
    <x v="1"/>
    <x v="4"/>
    <n v="9"/>
    <n v="330"/>
    <n v="2970"/>
    <n v="3031"/>
    <x v="0"/>
    <n v="0.97987462883536791"/>
  </r>
  <r>
    <x v="99"/>
    <x v="56"/>
    <x v="2"/>
    <x v="0"/>
    <x v="2"/>
    <x v="4"/>
    <n v="6"/>
    <n v="153"/>
    <n v="918"/>
    <n v="1133"/>
    <x v="1"/>
    <n v="0.81023830538393649"/>
  </r>
  <r>
    <x v="100"/>
    <x v="47"/>
    <x v="3"/>
    <x v="1"/>
    <x v="1"/>
    <x v="3"/>
    <n v="2"/>
    <n v="230"/>
    <n v="460"/>
    <n v="400"/>
    <x v="1"/>
    <n v="1.1499999999999999"/>
  </r>
  <r>
    <x v="101"/>
    <x v="83"/>
    <x v="3"/>
    <x v="0"/>
    <x v="2"/>
    <x v="0"/>
    <n v="5"/>
    <n v="97"/>
    <n v="485"/>
    <n v="603"/>
    <x v="0"/>
    <n v="0.80431177446102819"/>
  </r>
  <r>
    <x v="102"/>
    <x v="84"/>
    <x v="1"/>
    <x v="0"/>
    <x v="0"/>
    <x v="2"/>
    <n v="2"/>
    <n v="426"/>
    <n v="852"/>
    <n v="1063"/>
    <x v="1"/>
    <n v="0.80150517403574784"/>
  </r>
  <r>
    <x v="103"/>
    <x v="85"/>
    <x v="2"/>
    <x v="0"/>
    <x v="2"/>
    <x v="3"/>
    <n v="5"/>
    <n v="443"/>
    <n v="2215"/>
    <n v="2759"/>
    <x v="0"/>
    <n v="0.80282711127220008"/>
  </r>
  <r>
    <x v="104"/>
    <x v="86"/>
    <x v="3"/>
    <x v="0"/>
    <x v="0"/>
    <x v="3"/>
    <n v="3"/>
    <n v="399"/>
    <n v="1197"/>
    <n v="1129"/>
    <x v="0"/>
    <n v="1.0602302922940656"/>
  </r>
  <r>
    <x v="105"/>
    <x v="53"/>
    <x v="2"/>
    <x v="2"/>
    <x v="4"/>
    <x v="4"/>
    <n v="6"/>
    <n v="420"/>
    <n v="2520"/>
    <n v="2854"/>
    <x v="0"/>
    <n v="0.88297126839523477"/>
  </r>
  <r>
    <x v="106"/>
    <x v="87"/>
    <x v="0"/>
    <x v="0"/>
    <x v="0"/>
    <x v="5"/>
    <n v="5"/>
    <n v="425"/>
    <n v="2125"/>
    <n v="2520"/>
    <x v="0"/>
    <n v="0.84325396825396826"/>
  </r>
  <r>
    <x v="107"/>
    <x v="88"/>
    <x v="2"/>
    <x v="0"/>
    <x v="7"/>
    <x v="5"/>
    <n v="7"/>
    <n v="483"/>
    <n v="3381"/>
    <n v="3167"/>
    <x v="1"/>
    <n v="1.0675718345437322"/>
  </r>
  <r>
    <x v="108"/>
    <x v="89"/>
    <x v="2"/>
    <x v="1"/>
    <x v="5"/>
    <x v="4"/>
    <n v="1"/>
    <n v="175"/>
    <n v="175"/>
    <n v="177"/>
    <x v="0"/>
    <n v="0.98870056497175141"/>
  </r>
  <r>
    <x v="109"/>
    <x v="90"/>
    <x v="0"/>
    <x v="2"/>
    <x v="4"/>
    <x v="2"/>
    <n v="8"/>
    <n v="401"/>
    <n v="3208"/>
    <n v="3315"/>
    <x v="0"/>
    <n v="0.96772247360482655"/>
  </r>
  <r>
    <x v="110"/>
    <x v="5"/>
    <x v="3"/>
    <x v="1"/>
    <x v="1"/>
    <x v="5"/>
    <n v="4"/>
    <n v="230"/>
    <n v="920"/>
    <n v="889"/>
    <x v="0"/>
    <n v="1.0348706411698538"/>
  </r>
  <r>
    <x v="111"/>
    <x v="88"/>
    <x v="0"/>
    <x v="0"/>
    <x v="8"/>
    <x v="3"/>
    <n v="2"/>
    <n v="392"/>
    <n v="784"/>
    <n v="732"/>
    <x v="1"/>
    <n v="1.0710382513661203"/>
  </r>
  <r>
    <x v="112"/>
    <x v="52"/>
    <x v="1"/>
    <x v="1"/>
    <x v="6"/>
    <x v="5"/>
    <n v="9"/>
    <n v="65"/>
    <n v="585"/>
    <n v="639"/>
    <x v="0"/>
    <n v="0.91549295774647887"/>
  </r>
  <r>
    <x v="113"/>
    <x v="91"/>
    <x v="1"/>
    <x v="2"/>
    <x v="9"/>
    <x v="2"/>
    <n v="4"/>
    <n v="391"/>
    <n v="1564"/>
    <n v="1362"/>
    <x v="0"/>
    <n v="1.1483113069016153"/>
  </r>
  <r>
    <x v="114"/>
    <x v="36"/>
    <x v="1"/>
    <x v="2"/>
    <x v="9"/>
    <x v="5"/>
    <n v="7"/>
    <n v="75"/>
    <n v="525"/>
    <n v="517"/>
    <x v="0"/>
    <n v="1.0154738878143132"/>
  </r>
  <r>
    <x v="115"/>
    <x v="92"/>
    <x v="0"/>
    <x v="0"/>
    <x v="7"/>
    <x v="3"/>
    <n v="5"/>
    <n v="71"/>
    <n v="355"/>
    <n v="362"/>
    <x v="0"/>
    <n v="0.98066298342541436"/>
  </r>
  <r>
    <x v="116"/>
    <x v="93"/>
    <x v="1"/>
    <x v="0"/>
    <x v="0"/>
    <x v="3"/>
    <n v="2"/>
    <n v="66"/>
    <n v="132"/>
    <n v="161"/>
    <x v="0"/>
    <n v="0.81987577639751552"/>
  </r>
  <r>
    <x v="117"/>
    <x v="36"/>
    <x v="0"/>
    <x v="2"/>
    <x v="9"/>
    <x v="3"/>
    <n v="6"/>
    <n v="215"/>
    <n v="1290"/>
    <n v="1270"/>
    <x v="1"/>
    <n v="1.015748031496063"/>
  </r>
  <r>
    <x v="118"/>
    <x v="94"/>
    <x v="1"/>
    <x v="1"/>
    <x v="1"/>
    <x v="0"/>
    <n v="3"/>
    <n v="319"/>
    <n v="957"/>
    <n v="1067"/>
    <x v="1"/>
    <n v="0.89690721649484539"/>
  </r>
  <r>
    <x v="119"/>
    <x v="50"/>
    <x v="2"/>
    <x v="1"/>
    <x v="1"/>
    <x v="2"/>
    <n v="7"/>
    <n v="465"/>
    <n v="3255"/>
    <n v="4140"/>
    <x v="1"/>
    <n v="0.78623188405797106"/>
  </r>
  <r>
    <x v="120"/>
    <x v="95"/>
    <x v="3"/>
    <x v="1"/>
    <x v="6"/>
    <x v="4"/>
    <n v="2"/>
    <n v="55"/>
    <n v="110"/>
    <n v="110"/>
    <x v="1"/>
    <n v="1"/>
  </r>
  <r>
    <x v="121"/>
    <x v="42"/>
    <x v="2"/>
    <x v="0"/>
    <x v="0"/>
    <x v="0"/>
    <n v="3"/>
    <n v="211"/>
    <n v="633"/>
    <n v="637"/>
    <x v="0"/>
    <n v="0.99372056514913654"/>
  </r>
  <r>
    <x v="122"/>
    <x v="96"/>
    <x v="2"/>
    <x v="0"/>
    <x v="0"/>
    <x v="5"/>
    <n v="6"/>
    <n v="426"/>
    <n v="2556"/>
    <n v="2052"/>
    <x v="1"/>
    <n v="1.2456140350877194"/>
  </r>
  <r>
    <x v="123"/>
    <x v="97"/>
    <x v="1"/>
    <x v="1"/>
    <x v="1"/>
    <x v="5"/>
    <n v="9"/>
    <n v="205"/>
    <n v="1845"/>
    <n v="2077"/>
    <x v="1"/>
    <n v="0.88830043331728459"/>
  </r>
  <r>
    <x v="124"/>
    <x v="98"/>
    <x v="1"/>
    <x v="1"/>
    <x v="1"/>
    <x v="2"/>
    <n v="7"/>
    <n v="225"/>
    <n v="1575"/>
    <n v="1783"/>
    <x v="0"/>
    <n v="0.88334268087492984"/>
  </r>
  <r>
    <x v="125"/>
    <x v="99"/>
    <x v="3"/>
    <x v="2"/>
    <x v="9"/>
    <x v="0"/>
    <n v="7"/>
    <n v="307"/>
    <n v="2149"/>
    <n v="2038"/>
    <x v="0"/>
    <n v="1.0544651619234544"/>
  </r>
  <r>
    <x v="126"/>
    <x v="75"/>
    <x v="3"/>
    <x v="1"/>
    <x v="5"/>
    <x v="1"/>
    <n v="10"/>
    <n v="415"/>
    <n v="4150"/>
    <n v="3937"/>
    <x v="1"/>
    <n v="1.0541021082042163"/>
  </r>
  <r>
    <x v="127"/>
    <x v="100"/>
    <x v="1"/>
    <x v="1"/>
    <x v="5"/>
    <x v="3"/>
    <n v="1"/>
    <n v="421"/>
    <n v="421"/>
    <n v="494"/>
    <x v="1"/>
    <n v="0.85222672064777327"/>
  </r>
  <r>
    <x v="128"/>
    <x v="101"/>
    <x v="1"/>
    <x v="1"/>
    <x v="1"/>
    <x v="2"/>
    <n v="10"/>
    <n v="452"/>
    <n v="4520"/>
    <n v="5201"/>
    <x v="0"/>
    <n v="0.86906364160738314"/>
  </r>
  <r>
    <x v="129"/>
    <x v="102"/>
    <x v="3"/>
    <x v="1"/>
    <x v="6"/>
    <x v="1"/>
    <n v="7"/>
    <n v="280"/>
    <n v="1960"/>
    <n v="2237"/>
    <x v="0"/>
    <n v="0.87617344658024143"/>
  </r>
  <r>
    <x v="130"/>
    <x v="103"/>
    <x v="1"/>
    <x v="0"/>
    <x v="7"/>
    <x v="3"/>
    <n v="5"/>
    <n v="72"/>
    <n v="360"/>
    <n v="338"/>
    <x v="1"/>
    <n v="1.0650887573964498"/>
  </r>
  <r>
    <x v="131"/>
    <x v="104"/>
    <x v="1"/>
    <x v="2"/>
    <x v="4"/>
    <x v="0"/>
    <n v="7"/>
    <n v="498"/>
    <n v="3486"/>
    <n v="4249"/>
    <x v="1"/>
    <n v="0.82042833607907739"/>
  </r>
  <r>
    <x v="132"/>
    <x v="9"/>
    <x v="1"/>
    <x v="0"/>
    <x v="2"/>
    <x v="3"/>
    <n v="3"/>
    <n v="276"/>
    <n v="828"/>
    <n v="1072"/>
    <x v="0"/>
    <n v="0.77238805970149249"/>
  </r>
  <r>
    <x v="133"/>
    <x v="105"/>
    <x v="2"/>
    <x v="0"/>
    <x v="8"/>
    <x v="5"/>
    <n v="1"/>
    <n v="357"/>
    <n v="357"/>
    <n v="334"/>
    <x v="1"/>
    <n v="1.0688622754491017"/>
  </r>
  <r>
    <x v="134"/>
    <x v="106"/>
    <x v="0"/>
    <x v="2"/>
    <x v="4"/>
    <x v="1"/>
    <n v="3"/>
    <n v="376"/>
    <n v="1128"/>
    <n v="1189"/>
    <x v="1"/>
    <n v="0.94869638351555929"/>
  </r>
  <r>
    <x v="135"/>
    <x v="107"/>
    <x v="3"/>
    <x v="1"/>
    <x v="5"/>
    <x v="1"/>
    <n v="8"/>
    <n v="440"/>
    <n v="3520"/>
    <n v="3393"/>
    <x v="0"/>
    <n v="1.0374300029472443"/>
  </r>
  <r>
    <x v="136"/>
    <x v="42"/>
    <x v="0"/>
    <x v="1"/>
    <x v="6"/>
    <x v="4"/>
    <n v="7"/>
    <n v="88"/>
    <n v="616"/>
    <n v="506"/>
    <x v="1"/>
    <n v="1.2173913043478262"/>
  </r>
  <r>
    <x v="137"/>
    <x v="50"/>
    <x v="1"/>
    <x v="2"/>
    <x v="3"/>
    <x v="5"/>
    <n v="9"/>
    <n v="252"/>
    <n v="2268"/>
    <n v="2447"/>
    <x v="0"/>
    <n v="0.92684920310584384"/>
  </r>
  <r>
    <x v="138"/>
    <x v="108"/>
    <x v="2"/>
    <x v="0"/>
    <x v="2"/>
    <x v="3"/>
    <n v="3"/>
    <n v="61"/>
    <n v="183"/>
    <n v="198"/>
    <x v="1"/>
    <n v="0.9242424242424242"/>
  </r>
  <r>
    <x v="139"/>
    <x v="54"/>
    <x v="1"/>
    <x v="2"/>
    <x v="4"/>
    <x v="3"/>
    <n v="1"/>
    <n v="30"/>
    <n v="30"/>
    <n v="30"/>
    <x v="0"/>
    <n v="1"/>
  </r>
  <r>
    <x v="140"/>
    <x v="109"/>
    <x v="0"/>
    <x v="0"/>
    <x v="8"/>
    <x v="5"/>
    <n v="3"/>
    <n v="483"/>
    <n v="1449"/>
    <n v="1758"/>
    <x v="0"/>
    <n v="0.82423208191126285"/>
  </r>
  <r>
    <x v="141"/>
    <x v="110"/>
    <x v="3"/>
    <x v="0"/>
    <x v="8"/>
    <x v="2"/>
    <n v="5"/>
    <n v="442"/>
    <n v="2210"/>
    <n v="2423"/>
    <x v="1"/>
    <n v="0.91209244737928186"/>
  </r>
  <r>
    <x v="142"/>
    <x v="111"/>
    <x v="1"/>
    <x v="0"/>
    <x v="8"/>
    <x v="2"/>
    <n v="2"/>
    <n v="360"/>
    <n v="720"/>
    <n v="763"/>
    <x v="0"/>
    <n v="0.94364351245085187"/>
  </r>
  <r>
    <x v="143"/>
    <x v="112"/>
    <x v="1"/>
    <x v="2"/>
    <x v="4"/>
    <x v="0"/>
    <n v="2"/>
    <n v="496"/>
    <n v="992"/>
    <n v="862"/>
    <x v="1"/>
    <n v="1.1508120649651972"/>
  </r>
  <r>
    <x v="144"/>
    <x v="98"/>
    <x v="1"/>
    <x v="1"/>
    <x v="1"/>
    <x v="5"/>
    <n v="1"/>
    <n v="164"/>
    <n v="164"/>
    <n v="186"/>
    <x v="0"/>
    <n v="0.88172043010752688"/>
  </r>
  <r>
    <x v="145"/>
    <x v="106"/>
    <x v="3"/>
    <x v="2"/>
    <x v="9"/>
    <x v="4"/>
    <n v="5"/>
    <n v="298"/>
    <n v="1490"/>
    <n v="1256"/>
    <x v="1"/>
    <n v="1.1863057324840764"/>
  </r>
  <r>
    <x v="146"/>
    <x v="113"/>
    <x v="2"/>
    <x v="1"/>
    <x v="5"/>
    <x v="4"/>
    <n v="8"/>
    <n v="485"/>
    <n v="3880"/>
    <n v="4060"/>
    <x v="1"/>
    <n v="0.95566502463054193"/>
  </r>
  <r>
    <x v="147"/>
    <x v="68"/>
    <x v="2"/>
    <x v="1"/>
    <x v="5"/>
    <x v="2"/>
    <n v="6"/>
    <n v="32"/>
    <n v="192"/>
    <n v="221"/>
    <x v="0"/>
    <n v="0.86877828054298645"/>
  </r>
  <r>
    <x v="148"/>
    <x v="114"/>
    <x v="3"/>
    <x v="0"/>
    <x v="8"/>
    <x v="3"/>
    <n v="6"/>
    <n v="453"/>
    <n v="2718"/>
    <n v="3194"/>
    <x v="0"/>
    <n v="0.85097056981840957"/>
  </r>
  <r>
    <x v="149"/>
    <x v="54"/>
    <x v="2"/>
    <x v="1"/>
    <x v="5"/>
    <x v="5"/>
    <n v="5"/>
    <n v="208"/>
    <n v="1040"/>
    <n v="1259"/>
    <x v="0"/>
    <n v="0.82605242255758538"/>
  </r>
  <r>
    <x v="150"/>
    <x v="84"/>
    <x v="0"/>
    <x v="2"/>
    <x v="3"/>
    <x v="2"/>
    <n v="7"/>
    <n v="93"/>
    <n v="651"/>
    <n v="813"/>
    <x v="0"/>
    <n v="0.80073800738007384"/>
  </r>
  <r>
    <x v="151"/>
    <x v="115"/>
    <x v="1"/>
    <x v="0"/>
    <x v="7"/>
    <x v="1"/>
    <n v="7"/>
    <n v="316"/>
    <n v="2212"/>
    <n v="2254"/>
    <x v="1"/>
    <n v="0.98136645962732916"/>
  </r>
  <r>
    <x v="152"/>
    <x v="116"/>
    <x v="1"/>
    <x v="2"/>
    <x v="3"/>
    <x v="0"/>
    <n v="3"/>
    <n v="197"/>
    <n v="591"/>
    <n v="489"/>
    <x v="1"/>
    <n v="1.2085889570552146"/>
  </r>
  <r>
    <x v="153"/>
    <x v="38"/>
    <x v="1"/>
    <x v="1"/>
    <x v="5"/>
    <x v="5"/>
    <n v="7"/>
    <n v="495"/>
    <n v="3465"/>
    <n v="2999"/>
    <x v="1"/>
    <n v="1.1553851283761254"/>
  </r>
  <r>
    <x v="154"/>
    <x v="117"/>
    <x v="1"/>
    <x v="1"/>
    <x v="6"/>
    <x v="0"/>
    <n v="10"/>
    <n v="20"/>
    <n v="200"/>
    <n v="163"/>
    <x v="0"/>
    <n v="1.2269938650306749"/>
  </r>
  <r>
    <x v="155"/>
    <x v="118"/>
    <x v="1"/>
    <x v="0"/>
    <x v="8"/>
    <x v="4"/>
    <n v="5"/>
    <n v="395"/>
    <n v="1975"/>
    <n v="2146"/>
    <x v="0"/>
    <n v="0.92031686859273065"/>
  </r>
  <r>
    <x v="156"/>
    <x v="119"/>
    <x v="3"/>
    <x v="2"/>
    <x v="9"/>
    <x v="4"/>
    <n v="6"/>
    <n v="303"/>
    <n v="1818"/>
    <n v="2169"/>
    <x v="1"/>
    <n v="0.83817427385892118"/>
  </r>
  <r>
    <x v="157"/>
    <x v="120"/>
    <x v="1"/>
    <x v="2"/>
    <x v="4"/>
    <x v="3"/>
    <n v="3"/>
    <n v="407"/>
    <n v="1221"/>
    <n v="1229"/>
    <x v="1"/>
    <n v="0.99349064279902355"/>
  </r>
  <r>
    <x v="158"/>
    <x v="72"/>
    <x v="0"/>
    <x v="1"/>
    <x v="5"/>
    <x v="5"/>
    <n v="1"/>
    <n v="384"/>
    <n v="384"/>
    <n v="491"/>
    <x v="1"/>
    <n v="0.7820773930753564"/>
  </r>
  <r>
    <x v="159"/>
    <x v="80"/>
    <x v="3"/>
    <x v="1"/>
    <x v="5"/>
    <x v="0"/>
    <n v="5"/>
    <n v="103"/>
    <n v="515"/>
    <n v="492"/>
    <x v="0"/>
    <n v="1.0467479674796747"/>
  </r>
  <r>
    <x v="160"/>
    <x v="121"/>
    <x v="0"/>
    <x v="1"/>
    <x v="5"/>
    <x v="0"/>
    <n v="9"/>
    <n v="467"/>
    <n v="4203"/>
    <n v="4744"/>
    <x v="0"/>
    <n v="0.88596121416526141"/>
  </r>
  <r>
    <x v="161"/>
    <x v="18"/>
    <x v="2"/>
    <x v="2"/>
    <x v="3"/>
    <x v="5"/>
    <n v="5"/>
    <n v="104"/>
    <n v="520"/>
    <n v="494"/>
    <x v="1"/>
    <n v="1.0526315789473684"/>
  </r>
  <r>
    <x v="162"/>
    <x v="122"/>
    <x v="3"/>
    <x v="0"/>
    <x v="0"/>
    <x v="4"/>
    <n v="7"/>
    <n v="401"/>
    <n v="2807"/>
    <n v="2796"/>
    <x v="0"/>
    <n v="1.003934191702432"/>
  </r>
  <r>
    <x v="163"/>
    <x v="123"/>
    <x v="2"/>
    <x v="1"/>
    <x v="6"/>
    <x v="1"/>
    <n v="10"/>
    <n v="178"/>
    <n v="1780"/>
    <n v="1615"/>
    <x v="1"/>
    <n v="1.1021671826625388"/>
  </r>
  <r>
    <x v="164"/>
    <x v="36"/>
    <x v="0"/>
    <x v="2"/>
    <x v="4"/>
    <x v="3"/>
    <n v="7"/>
    <n v="139"/>
    <n v="973"/>
    <n v="1056"/>
    <x v="0"/>
    <n v="0.92140151515151514"/>
  </r>
  <r>
    <x v="165"/>
    <x v="113"/>
    <x v="1"/>
    <x v="1"/>
    <x v="5"/>
    <x v="2"/>
    <n v="6"/>
    <n v="60"/>
    <n v="360"/>
    <n v="360"/>
    <x v="0"/>
    <n v="1"/>
  </r>
  <r>
    <x v="166"/>
    <x v="70"/>
    <x v="2"/>
    <x v="0"/>
    <x v="2"/>
    <x v="4"/>
    <n v="2"/>
    <n v="267"/>
    <n v="534"/>
    <n v="653"/>
    <x v="1"/>
    <n v="0.81776416539050534"/>
  </r>
  <r>
    <x v="167"/>
    <x v="124"/>
    <x v="2"/>
    <x v="0"/>
    <x v="0"/>
    <x v="0"/>
    <n v="8"/>
    <n v="440"/>
    <n v="3520"/>
    <n v="3898"/>
    <x v="1"/>
    <n v="0.90302719343252946"/>
  </r>
  <r>
    <x v="168"/>
    <x v="103"/>
    <x v="1"/>
    <x v="0"/>
    <x v="2"/>
    <x v="5"/>
    <n v="8"/>
    <n v="19"/>
    <n v="152"/>
    <n v="133"/>
    <x v="0"/>
    <n v="1.1428571428571428"/>
  </r>
  <r>
    <x v="169"/>
    <x v="125"/>
    <x v="2"/>
    <x v="0"/>
    <x v="7"/>
    <x v="2"/>
    <n v="4"/>
    <n v="120"/>
    <n v="480"/>
    <n v="579"/>
    <x v="0"/>
    <n v="0.82901554404145072"/>
  </r>
  <r>
    <x v="170"/>
    <x v="43"/>
    <x v="2"/>
    <x v="1"/>
    <x v="5"/>
    <x v="1"/>
    <n v="6"/>
    <n v="229"/>
    <n v="1374"/>
    <n v="1608"/>
    <x v="1"/>
    <n v="0.85447761194029848"/>
  </r>
  <r>
    <x v="171"/>
    <x v="126"/>
    <x v="3"/>
    <x v="2"/>
    <x v="9"/>
    <x v="2"/>
    <n v="4"/>
    <n v="105"/>
    <n v="420"/>
    <n v="532"/>
    <x v="1"/>
    <n v="0.78947368421052633"/>
  </r>
  <r>
    <x v="172"/>
    <x v="127"/>
    <x v="0"/>
    <x v="0"/>
    <x v="7"/>
    <x v="4"/>
    <n v="2"/>
    <n v="488"/>
    <n v="976"/>
    <n v="1219"/>
    <x v="0"/>
    <n v="0.80065627563576702"/>
  </r>
  <r>
    <x v="173"/>
    <x v="128"/>
    <x v="2"/>
    <x v="1"/>
    <x v="5"/>
    <x v="3"/>
    <n v="10"/>
    <n v="137"/>
    <n v="1370"/>
    <n v="1771"/>
    <x v="1"/>
    <n v="0.77357425183512141"/>
  </r>
  <r>
    <x v="174"/>
    <x v="36"/>
    <x v="1"/>
    <x v="0"/>
    <x v="2"/>
    <x v="0"/>
    <n v="5"/>
    <n v="94"/>
    <n v="470"/>
    <n v="429"/>
    <x v="0"/>
    <n v="1.0955710955710956"/>
  </r>
  <r>
    <x v="175"/>
    <x v="129"/>
    <x v="1"/>
    <x v="0"/>
    <x v="0"/>
    <x v="5"/>
    <n v="8"/>
    <n v="406"/>
    <n v="3248"/>
    <n v="3016"/>
    <x v="0"/>
    <n v="1.0769230769230769"/>
  </r>
  <r>
    <x v="176"/>
    <x v="130"/>
    <x v="1"/>
    <x v="0"/>
    <x v="2"/>
    <x v="1"/>
    <n v="2"/>
    <n v="81"/>
    <n v="162"/>
    <n v="184"/>
    <x v="1"/>
    <n v="0.88043478260869568"/>
  </r>
  <r>
    <x v="177"/>
    <x v="131"/>
    <x v="2"/>
    <x v="1"/>
    <x v="1"/>
    <x v="4"/>
    <n v="7"/>
    <n v="329"/>
    <n v="2303"/>
    <n v="1858"/>
    <x v="0"/>
    <n v="1.2395048439181917"/>
  </r>
  <r>
    <x v="178"/>
    <x v="132"/>
    <x v="2"/>
    <x v="0"/>
    <x v="8"/>
    <x v="5"/>
    <n v="1"/>
    <n v="112"/>
    <n v="112"/>
    <n v="90"/>
    <x v="1"/>
    <n v="1.2444444444444445"/>
  </r>
  <r>
    <x v="179"/>
    <x v="133"/>
    <x v="1"/>
    <x v="1"/>
    <x v="6"/>
    <x v="3"/>
    <n v="8"/>
    <n v="432"/>
    <n v="3456"/>
    <n v="3927"/>
    <x v="0"/>
    <n v="0.88006111535523301"/>
  </r>
  <r>
    <x v="180"/>
    <x v="134"/>
    <x v="1"/>
    <x v="1"/>
    <x v="6"/>
    <x v="4"/>
    <n v="1"/>
    <n v="264"/>
    <n v="264"/>
    <n v="215"/>
    <x v="1"/>
    <n v="1.2279069767441861"/>
  </r>
  <r>
    <x v="181"/>
    <x v="92"/>
    <x v="2"/>
    <x v="1"/>
    <x v="5"/>
    <x v="3"/>
    <n v="7"/>
    <n v="366"/>
    <n v="2562"/>
    <n v="2893"/>
    <x v="1"/>
    <n v="0.88558589699274115"/>
  </r>
  <r>
    <x v="182"/>
    <x v="135"/>
    <x v="2"/>
    <x v="1"/>
    <x v="1"/>
    <x v="0"/>
    <n v="9"/>
    <n v="268"/>
    <n v="2412"/>
    <n v="2648"/>
    <x v="1"/>
    <n v="0.91087613293051362"/>
  </r>
  <r>
    <x v="183"/>
    <x v="136"/>
    <x v="0"/>
    <x v="0"/>
    <x v="2"/>
    <x v="3"/>
    <n v="9"/>
    <n v="147"/>
    <n v="1323"/>
    <n v="1232"/>
    <x v="1"/>
    <n v="1.0738636363636365"/>
  </r>
  <r>
    <x v="184"/>
    <x v="137"/>
    <x v="0"/>
    <x v="2"/>
    <x v="4"/>
    <x v="0"/>
    <n v="1"/>
    <n v="485"/>
    <n v="485"/>
    <n v="512"/>
    <x v="1"/>
    <n v="0.947265625"/>
  </r>
  <r>
    <x v="185"/>
    <x v="138"/>
    <x v="1"/>
    <x v="1"/>
    <x v="5"/>
    <x v="3"/>
    <n v="1"/>
    <n v="450"/>
    <n v="450"/>
    <n v="488"/>
    <x v="1"/>
    <n v="0.92213114754098358"/>
  </r>
  <r>
    <x v="186"/>
    <x v="50"/>
    <x v="3"/>
    <x v="2"/>
    <x v="3"/>
    <x v="1"/>
    <n v="8"/>
    <n v="85"/>
    <n v="680"/>
    <n v="638"/>
    <x v="1"/>
    <n v="1.0658307210031348"/>
  </r>
  <r>
    <x v="187"/>
    <x v="105"/>
    <x v="1"/>
    <x v="0"/>
    <x v="8"/>
    <x v="2"/>
    <n v="7"/>
    <n v="88"/>
    <n v="616"/>
    <n v="536"/>
    <x v="0"/>
    <n v="1.1492537313432836"/>
  </r>
  <r>
    <x v="188"/>
    <x v="139"/>
    <x v="2"/>
    <x v="2"/>
    <x v="4"/>
    <x v="5"/>
    <n v="3"/>
    <n v="91"/>
    <n v="273"/>
    <n v="257"/>
    <x v="0"/>
    <n v="1.0622568093385214"/>
  </r>
  <r>
    <x v="189"/>
    <x v="140"/>
    <x v="3"/>
    <x v="2"/>
    <x v="3"/>
    <x v="2"/>
    <n v="9"/>
    <n v="25"/>
    <n v="225"/>
    <n v="241"/>
    <x v="1"/>
    <n v="0.93360995850622408"/>
  </r>
  <r>
    <x v="190"/>
    <x v="141"/>
    <x v="1"/>
    <x v="0"/>
    <x v="8"/>
    <x v="5"/>
    <n v="10"/>
    <n v="126"/>
    <n v="1260"/>
    <n v="1443"/>
    <x v="1"/>
    <n v="0.87318087318087323"/>
  </r>
  <r>
    <x v="191"/>
    <x v="94"/>
    <x v="1"/>
    <x v="0"/>
    <x v="0"/>
    <x v="5"/>
    <n v="3"/>
    <n v="159"/>
    <n v="477"/>
    <n v="614"/>
    <x v="1"/>
    <n v="0.77687296416938112"/>
  </r>
  <r>
    <x v="192"/>
    <x v="68"/>
    <x v="2"/>
    <x v="2"/>
    <x v="4"/>
    <x v="1"/>
    <n v="8"/>
    <n v="474"/>
    <n v="3792"/>
    <n v="3846"/>
    <x v="0"/>
    <n v="0.98595943837753508"/>
  </r>
  <r>
    <x v="193"/>
    <x v="142"/>
    <x v="1"/>
    <x v="0"/>
    <x v="8"/>
    <x v="0"/>
    <n v="5"/>
    <n v="411"/>
    <n v="2055"/>
    <n v="1867"/>
    <x v="1"/>
    <n v="1.1006963042313873"/>
  </r>
  <r>
    <x v="194"/>
    <x v="143"/>
    <x v="1"/>
    <x v="2"/>
    <x v="3"/>
    <x v="2"/>
    <n v="4"/>
    <n v="143"/>
    <n v="572"/>
    <n v="528"/>
    <x v="1"/>
    <n v="1.0833333333333333"/>
  </r>
  <r>
    <x v="195"/>
    <x v="144"/>
    <x v="2"/>
    <x v="2"/>
    <x v="3"/>
    <x v="0"/>
    <n v="7"/>
    <n v="421"/>
    <n v="2947"/>
    <n v="3231"/>
    <x v="0"/>
    <n v="0.91210151655834104"/>
  </r>
  <r>
    <x v="196"/>
    <x v="8"/>
    <x v="0"/>
    <x v="2"/>
    <x v="3"/>
    <x v="5"/>
    <n v="8"/>
    <n v="35"/>
    <n v="280"/>
    <n v="350"/>
    <x v="0"/>
    <n v="0.8"/>
  </r>
  <r>
    <x v="197"/>
    <x v="145"/>
    <x v="2"/>
    <x v="2"/>
    <x v="9"/>
    <x v="4"/>
    <n v="4"/>
    <n v="250"/>
    <n v="1000"/>
    <n v="817"/>
    <x v="0"/>
    <n v="1.2239902080783354"/>
  </r>
  <r>
    <x v="198"/>
    <x v="146"/>
    <x v="2"/>
    <x v="2"/>
    <x v="3"/>
    <x v="4"/>
    <n v="8"/>
    <n v="264"/>
    <n v="2112"/>
    <n v="2257"/>
    <x v="0"/>
    <n v="0.93575542755870622"/>
  </r>
  <r>
    <x v="199"/>
    <x v="147"/>
    <x v="2"/>
    <x v="1"/>
    <x v="6"/>
    <x v="2"/>
    <n v="5"/>
    <n v="291"/>
    <n v="1455"/>
    <n v="1272"/>
    <x v="0"/>
    <n v="1.1438679245283019"/>
  </r>
  <r>
    <x v="200"/>
    <x v="148"/>
    <x v="0"/>
    <x v="1"/>
    <x v="5"/>
    <x v="3"/>
    <n v="1"/>
    <n v="403"/>
    <n v="403"/>
    <n v="461"/>
    <x v="1"/>
    <n v="0.87418655097613884"/>
  </r>
  <r>
    <x v="201"/>
    <x v="88"/>
    <x v="3"/>
    <x v="1"/>
    <x v="6"/>
    <x v="5"/>
    <n v="1"/>
    <n v="23"/>
    <n v="23"/>
    <n v="21"/>
    <x v="1"/>
    <n v="1.0952380952380953"/>
  </r>
  <r>
    <x v="202"/>
    <x v="149"/>
    <x v="2"/>
    <x v="2"/>
    <x v="9"/>
    <x v="4"/>
    <n v="3"/>
    <n v="105"/>
    <n v="315"/>
    <n v="405"/>
    <x v="1"/>
    <n v="0.77777777777777779"/>
  </r>
  <r>
    <x v="203"/>
    <x v="48"/>
    <x v="0"/>
    <x v="1"/>
    <x v="6"/>
    <x v="0"/>
    <n v="9"/>
    <n v="473"/>
    <n v="4257"/>
    <n v="4799"/>
    <x v="1"/>
    <n v="0.88705980412585961"/>
  </r>
  <r>
    <x v="204"/>
    <x v="150"/>
    <x v="2"/>
    <x v="2"/>
    <x v="9"/>
    <x v="4"/>
    <n v="9"/>
    <n v="179"/>
    <n v="1611"/>
    <n v="1548"/>
    <x v="0"/>
    <n v="1.0406976744186047"/>
  </r>
  <r>
    <x v="205"/>
    <x v="151"/>
    <x v="3"/>
    <x v="2"/>
    <x v="3"/>
    <x v="4"/>
    <n v="2"/>
    <n v="487"/>
    <n v="974"/>
    <n v="1138"/>
    <x v="0"/>
    <n v="0.85588752196836559"/>
  </r>
  <r>
    <x v="206"/>
    <x v="32"/>
    <x v="3"/>
    <x v="2"/>
    <x v="9"/>
    <x v="5"/>
    <n v="10"/>
    <n v="83"/>
    <n v="830"/>
    <n v="845"/>
    <x v="1"/>
    <n v="0.98224852071005919"/>
  </r>
  <r>
    <x v="207"/>
    <x v="24"/>
    <x v="2"/>
    <x v="2"/>
    <x v="9"/>
    <x v="3"/>
    <n v="5"/>
    <n v="371"/>
    <n v="1855"/>
    <n v="1986"/>
    <x v="1"/>
    <n v="0.93403826787512589"/>
  </r>
  <r>
    <x v="208"/>
    <x v="9"/>
    <x v="2"/>
    <x v="0"/>
    <x v="0"/>
    <x v="4"/>
    <n v="6"/>
    <n v="433"/>
    <n v="2598"/>
    <n v="2176"/>
    <x v="0"/>
    <n v="1.1939338235294117"/>
  </r>
  <r>
    <x v="209"/>
    <x v="152"/>
    <x v="2"/>
    <x v="0"/>
    <x v="7"/>
    <x v="5"/>
    <n v="10"/>
    <n v="297"/>
    <n v="2970"/>
    <n v="3612"/>
    <x v="0"/>
    <n v="0.82225913621262459"/>
  </r>
  <r>
    <x v="210"/>
    <x v="60"/>
    <x v="2"/>
    <x v="2"/>
    <x v="9"/>
    <x v="2"/>
    <n v="8"/>
    <n v="176"/>
    <n v="1408"/>
    <n v="1550"/>
    <x v="1"/>
    <n v="0.9083870967741936"/>
  </r>
  <r>
    <x v="211"/>
    <x v="153"/>
    <x v="0"/>
    <x v="0"/>
    <x v="0"/>
    <x v="5"/>
    <n v="4"/>
    <n v="37"/>
    <n v="148"/>
    <n v="177"/>
    <x v="0"/>
    <n v="0.83615819209039544"/>
  </r>
  <r>
    <x v="212"/>
    <x v="154"/>
    <x v="3"/>
    <x v="0"/>
    <x v="0"/>
    <x v="4"/>
    <n v="9"/>
    <n v="28"/>
    <n v="252"/>
    <n v="326"/>
    <x v="1"/>
    <n v="0.77300613496932513"/>
  </r>
  <r>
    <x v="213"/>
    <x v="155"/>
    <x v="3"/>
    <x v="1"/>
    <x v="5"/>
    <x v="1"/>
    <n v="10"/>
    <n v="60"/>
    <n v="600"/>
    <n v="496"/>
    <x v="0"/>
    <n v="1.2096774193548387"/>
  </r>
  <r>
    <x v="214"/>
    <x v="93"/>
    <x v="1"/>
    <x v="0"/>
    <x v="8"/>
    <x v="0"/>
    <n v="3"/>
    <n v="403"/>
    <n v="1209"/>
    <n v="1241"/>
    <x v="1"/>
    <n v="0.97421434327155521"/>
  </r>
  <r>
    <x v="215"/>
    <x v="156"/>
    <x v="0"/>
    <x v="1"/>
    <x v="5"/>
    <x v="0"/>
    <n v="3"/>
    <n v="238"/>
    <n v="714"/>
    <n v="791"/>
    <x v="1"/>
    <n v="0.90265486725663713"/>
  </r>
  <r>
    <x v="216"/>
    <x v="157"/>
    <x v="0"/>
    <x v="1"/>
    <x v="5"/>
    <x v="1"/>
    <n v="2"/>
    <n v="56"/>
    <n v="112"/>
    <n v="119"/>
    <x v="1"/>
    <n v="0.94117647058823528"/>
  </r>
  <r>
    <x v="217"/>
    <x v="158"/>
    <x v="3"/>
    <x v="2"/>
    <x v="3"/>
    <x v="5"/>
    <n v="7"/>
    <n v="415"/>
    <n v="2905"/>
    <n v="2372"/>
    <x v="0"/>
    <n v="1.2247048903878583"/>
  </r>
  <r>
    <x v="218"/>
    <x v="34"/>
    <x v="2"/>
    <x v="1"/>
    <x v="6"/>
    <x v="5"/>
    <n v="8"/>
    <n v="462"/>
    <n v="3696"/>
    <n v="4176"/>
    <x v="0"/>
    <n v="0.88505747126436785"/>
  </r>
  <r>
    <x v="219"/>
    <x v="63"/>
    <x v="0"/>
    <x v="2"/>
    <x v="3"/>
    <x v="3"/>
    <n v="5"/>
    <n v="124"/>
    <n v="620"/>
    <n v="691"/>
    <x v="0"/>
    <n v="0.89725036179450068"/>
  </r>
  <r>
    <x v="220"/>
    <x v="159"/>
    <x v="0"/>
    <x v="1"/>
    <x v="6"/>
    <x v="0"/>
    <n v="6"/>
    <n v="250"/>
    <n v="1500"/>
    <n v="1882"/>
    <x v="0"/>
    <n v="0.79702444208289058"/>
  </r>
  <r>
    <x v="221"/>
    <x v="96"/>
    <x v="2"/>
    <x v="1"/>
    <x v="6"/>
    <x v="2"/>
    <n v="9"/>
    <n v="255"/>
    <n v="2295"/>
    <n v="2912"/>
    <x v="1"/>
    <n v="0.78811813186813184"/>
  </r>
  <r>
    <x v="222"/>
    <x v="160"/>
    <x v="2"/>
    <x v="2"/>
    <x v="3"/>
    <x v="4"/>
    <n v="9"/>
    <n v="442"/>
    <n v="3978"/>
    <n v="4445"/>
    <x v="1"/>
    <n v="0.89493813273340828"/>
  </r>
  <r>
    <x v="223"/>
    <x v="63"/>
    <x v="1"/>
    <x v="0"/>
    <x v="7"/>
    <x v="2"/>
    <n v="8"/>
    <n v="418"/>
    <n v="3344"/>
    <n v="2793"/>
    <x v="1"/>
    <n v="1.1972789115646258"/>
  </r>
  <r>
    <x v="224"/>
    <x v="69"/>
    <x v="1"/>
    <x v="0"/>
    <x v="7"/>
    <x v="0"/>
    <n v="10"/>
    <n v="128"/>
    <n v="1280"/>
    <n v="1310"/>
    <x v="0"/>
    <n v="0.97709923664122134"/>
  </r>
  <r>
    <x v="225"/>
    <x v="161"/>
    <x v="3"/>
    <x v="1"/>
    <x v="5"/>
    <x v="0"/>
    <n v="6"/>
    <n v="316"/>
    <n v="1896"/>
    <n v="1768"/>
    <x v="1"/>
    <n v="1.0723981900452488"/>
  </r>
  <r>
    <x v="226"/>
    <x v="162"/>
    <x v="1"/>
    <x v="1"/>
    <x v="6"/>
    <x v="0"/>
    <n v="1"/>
    <n v="455"/>
    <n v="455"/>
    <n v="419"/>
    <x v="0"/>
    <n v="1.0859188544152745"/>
  </r>
  <r>
    <x v="227"/>
    <x v="155"/>
    <x v="1"/>
    <x v="1"/>
    <x v="5"/>
    <x v="3"/>
    <n v="3"/>
    <n v="228"/>
    <n v="684"/>
    <n v="856"/>
    <x v="0"/>
    <n v="0.7990654205607477"/>
  </r>
  <r>
    <x v="228"/>
    <x v="163"/>
    <x v="0"/>
    <x v="2"/>
    <x v="3"/>
    <x v="4"/>
    <n v="2"/>
    <n v="392"/>
    <n v="784"/>
    <n v="736"/>
    <x v="1"/>
    <n v="1.0652173913043479"/>
  </r>
  <r>
    <x v="229"/>
    <x v="164"/>
    <x v="3"/>
    <x v="0"/>
    <x v="7"/>
    <x v="3"/>
    <n v="7"/>
    <n v="139"/>
    <n v="973"/>
    <n v="891"/>
    <x v="0"/>
    <n v="1.0920314253647587"/>
  </r>
  <r>
    <x v="230"/>
    <x v="88"/>
    <x v="3"/>
    <x v="0"/>
    <x v="0"/>
    <x v="3"/>
    <n v="10"/>
    <n v="56"/>
    <n v="560"/>
    <n v="624"/>
    <x v="1"/>
    <n v="0.89743589743589747"/>
  </r>
  <r>
    <x v="231"/>
    <x v="165"/>
    <x v="0"/>
    <x v="1"/>
    <x v="6"/>
    <x v="2"/>
    <n v="8"/>
    <n v="250"/>
    <n v="2000"/>
    <n v="1691"/>
    <x v="0"/>
    <n v="1.1827321111768185"/>
  </r>
  <r>
    <x v="232"/>
    <x v="166"/>
    <x v="1"/>
    <x v="2"/>
    <x v="3"/>
    <x v="5"/>
    <n v="3"/>
    <n v="376"/>
    <n v="1128"/>
    <n v="1149"/>
    <x v="0"/>
    <n v="0.98172323759791125"/>
  </r>
  <r>
    <x v="233"/>
    <x v="167"/>
    <x v="0"/>
    <x v="2"/>
    <x v="9"/>
    <x v="5"/>
    <n v="6"/>
    <n v="441"/>
    <n v="2646"/>
    <n v="3209"/>
    <x v="1"/>
    <n v="0.82455593642879399"/>
  </r>
  <r>
    <x v="234"/>
    <x v="12"/>
    <x v="1"/>
    <x v="2"/>
    <x v="4"/>
    <x v="0"/>
    <n v="7"/>
    <n v="310"/>
    <n v="2170"/>
    <n v="2511"/>
    <x v="0"/>
    <n v="0.86419753086419748"/>
  </r>
  <r>
    <x v="235"/>
    <x v="51"/>
    <x v="0"/>
    <x v="2"/>
    <x v="9"/>
    <x v="5"/>
    <n v="6"/>
    <n v="405"/>
    <n v="2430"/>
    <n v="2605"/>
    <x v="0"/>
    <n v="0.93282149712092133"/>
  </r>
  <r>
    <x v="236"/>
    <x v="168"/>
    <x v="0"/>
    <x v="0"/>
    <x v="8"/>
    <x v="0"/>
    <n v="1"/>
    <n v="425"/>
    <n v="425"/>
    <n v="481"/>
    <x v="1"/>
    <n v="0.88357588357588357"/>
  </r>
  <r>
    <x v="237"/>
    <x v="169"/>
    <x v="1"/>
    <x v="0"/>
    <x v="2"/>
    <x v="4"/>
    <n v="1"/>
    <n v="175"/>
    <n v="175"/>
    <n v="169"/>
    <x v="0"/>
    <n v="1.0355029585798816"/>
  </r>
  <r>
    <x v="238"/>
    <x v="37"/>
    <x v="2"/>
    <x v="1"/>
    <x v="6"/>
    <x v="3"/>
    <n v="3"/>
    <n v="150"/>
    <n v="450"/>
    <n v="441"/>
    <x v="1"/>
    <n v="1.0204081632653061"/>
  </r>
  <r>
    <x v="239"/>
    <x v="170"/>
    <x v="1"/>
    <x v="1"/>
    <x v="6"/>
    <x v="4"/>
    <n v="7"/>
    <n v="181"/>
    <n v="1267"/>
    <n v="1236"/>
    <x v="1"/>
    <n v="1.0250809061488673"/>
  </r>
  <r>
    <x v="240"/>
    <x v="171"/>
    <x v="3"/>
    <x v="1"/>
    <x v="1"/>
    <x v="2"/>
    <n v="1"/>
    <n v="55"/>
    <n v="55"/>
    <n v="60"/>
    <x v="1"/>
    <n v="0.91666666666666663"/>
  </r>
  <r>
    <x v="241"/>
    <x v="172"/>
    <x v="0"/>
    <x v="0"/>
    <x v="8"/>
    <x v="0"/>
    <n v="6"/>
    <n v="40"/>
    <n v="240"/>
    <n v="299"/>
    <x v="1"/>
    <n v="0.80267558528428096"/>
  </r>
  <r>
    <x v="242"/>
    <x v="89"/>
    <x v="3"/>
    <x v="1"/>
    <x v="5"/>
    <x v="2"/>
    <n v="2"/>
    <n v="72"/>
    <n v="144"/>
    <n v="176"/>
    <x v="1"/>
    <n v="0.81818181818181823"/>
  </r>
  <r>
    <x v="243"/>
    <x v="173"/>
    <x v="3"/>
    <x v="2"/>
    <x v="4"/>
    <x v="3"/>
    <n v="2"/>
    <n v="429"/>
    <n v="858"/>
    <n v="787"/>
    <x v="0"/>
    <n v="1.0902160101651843"/>
  </r>
  <r>
    <x v="244"/>
    <x v="174"/>
    <x v="1"/>
    <x v="0"/>
    <x v="7"/>
    <x v="2"/>
    <n v="5"/>
    <n v="166"/>
    <n v="830"/>
    <n v="825"/>
    <x v="0"/>
    <n v="1.0060606060606061"/>
  </r>
  <r>
    <x v="245"/>
    <x v="175"/>
    <x v="2"/>
    <x v="1"/>
    <x v="5"/>
    <x v="4"/>
    <n v="3"/>
    <n v="469"/>
    <n v="1407"/>
    <n v="1137"/>
    <x v="0"/>
    <n v="1.237467018469657"/>
  </r>
  <r>
    <x v="246"/>
    <x v="176"/>
    <x v="2"/>
    <x v="2"/>
    <x v="4"/>
    <x v="4"/>
    <n v="2"/>
    <n v="216"/>
    <n v="432"/>
    <n v="505"/>
    <x v="0"/>
    <n v="0.85544554455445543"/>
  </r>
  <r>
    <x v="247"/>
    <x v="107"/>
    <x v="3"/>
    <x v="1"/>
    <x v="1"/>
    <x v="2"/>
    <n v="5"/>
    <n v="393"/>
    <n v="1965"/>
    <n v="1949"/>
    <x v="1"/>
    <n v="1.008209338122114"/>
  </r>
  <r>
    <x v="248"/>
    <x v="177"/>
    <x v="2"/>
    <x v="2"/>
    <x v="3"/>
    <x v="2"/>
    <n v="1"/>
    <n v="246"/>
    <n v="246"/>
    <n v="217"/>
    <x v="0"/>
    <n v="1.1336405529953917"/>
  </r>
  <r>
    <x v="249"/>
    <x v="67"/>
    <x v="3"/>
    <x v="2"/>
    <x v="9"/>
    <x v="3"/>
    <n v="2"/>
    <n v="396"/>
    <n v="792"/>
    <n v="812"/>
    <x v="1"/>
    <n v="0.97536945812807885"/>
  </r>
  <r>
    <x v="250"/>
    <x v="178"/>
    <x v="0"/>
    <x v="1"/>
    <x v="5"/>
    <x v="5"/>
    <n v="3"/>
    <n v="147"/>
    <n v="441"/>
    <n v="431"/>
    <x v="1"/>
    <n v="1.0232018561484919"/>
  </r>
  <r>
    <x v="251"/>
    <x v="49"/>
    <x v="3"/>
    <x v="2"/>
    <x v="4"/>
    <x v="5"/>
    <n v="1"/>
    <n v="456"/>
    <n v="456"/>
    <n v="550"/>
    <x v="1"/>
    <n v="0.8290909090909091"/>
  </r>
  <r>
    <x v="252"/>
    <x v="112"/>
    <x v="1"/>
    <x v="1"/>
    <x v="6"/>
    <x v="1"/>
    <n v="4"/>
    <n v="269"/>
    <n v="1076"/>
    <n v="962"/>
    <x v="1"/>
    <n v="1.1185031185031185"/>
  </r>
  <r>
    <x v="253"/>
    <x v="179"/>
    <x v="0"/>
    <x v="1"/>
    <x v="6"/>
    <x v="4"/>
    <n v="9"/>
    <n v="134"/>
    <n v="1206"/>
    <n v="1159"/>
    <x v="0"/>
    <n v="1.0405522001725624"/>
  </r>
  <r>
    <x v="254"/>
    <x v="156"/>
    <x v="2"/>
    <x v="1"/>
    <x v="6"/>
    <x v="2"/>
    <n v="8"/>
    <n v="480"/>
    <n v="3840"/>
    <n v="4819"/>
    <x v="1"/>
    <n v="0.79684581863457149"/>
  </r>
  <r>
    <x v="255"/>
    <x v="97"/>
    <x v="0"/>
    <x v="0"/>
    <x v="8"/>
    <x v="1"/>
    <n v="8"/>
    <n v="249"/>
    <n v="1992"/>
    <n v="2267"/>
    <x v="1"/>
    <n v="0.87869430966034412"/>
  </r>
  <r>
    <x v="256"/>
    <x v="180"/>
    <x v="2"/>
    <x v="2"/>
    <x v="3"/>
    <x v="4"/>
    <n v="2"/>
    <n v="300"/>
    <n v="600"/>
    <n v="567"/>
    <x v="0"/>
    <n v="1.0582010582010581"/>
  </r>
  <r>
    <x v="257"/>
    <x v="181"/>
    <x v="0"/>
    <x v="0"/>
    <x v="8"/>
    <x v="2"/>
    <n v="3"/>
    <n v="422"/>
    <n v="1266"/>
    <n v="1096"/>
    <x v="0"/>
    <n v="1.1551094890510949"/>
  </r>
  <r>
    <x v="258"/>
    <x v="182"/>
    <x v="2"/>
    <x v="2"/>
    <x v="9"/>
    <x v="5"/>
    <n v="5"/>
    <n v="197"/>
    <n v="985"/>
    <n v="942"/>
    <x v="0"/>
    <n v="1.045647558386412"/>
  </r>
  <r>
    <x v="259"/>
    <x v="183"/>
    <x v="2"/>
    <x v="0"/>
    <x v="2"/>
    <x v="5"/>
    <n v="3"/>
    <n v="469"/>
    <n v="1407"/>
    <n v="1744"/>
    <x v="0"/>
    <n v="0.80676605504587151"/>
  </r>
  <r>
    <x v="260"/>
    <x v="72"/>
    <x v="1"/>
    <x v="1"/>
    <x v="6"/>
    <x v="0"/>
    <n v="5"/>
    <n v="14"/>
    <n v="70"/>
    <n v="71"/>
    <x v="1"/>
    <n v="0.9859154929577465"/>
  </r>
  <r>
    <x v="261"/>
    <x v="184"/>
    <x v="2"/>
    <x v="1"/>
    <x v="5"/>
    <x v="2"/>
    <n v="4"/>
    <n v="464"/>
    <n v="1856"/>
    <n v="2365"/>
    <x v="0"/>
    <n v="0.78477801268498948"/>
  </r>
  <r>
    <x v="262"/>
    <x v="4"/>
    <x v="2"/>
    <x v="1"/>
    <x v="1"/>
    <x v="4"/>
    <n v="6"/>
    <n v="170"/>
    <n v="1020"/>
    <n v="826"/>
    <x v="0"/>
    <n v="1.2348668280871671"/>
  </r>
  <r>
    <x v="263"/>
    <x v="166"/>
    <x v="3"/>
    <x v="2"/>
    <x v="4"/>
    <x v="1"/>
    <n v="8"/>
    <n v="51"/>
    <n v="408"/>
    <n v="422"/>
    <x v="0"/>
    <n v="0.96682464454976302"/>
  </r>
  <r>
    <x v="264"/>
    <x v="185"/>
    <x v="0"/>
    <x v="0"/>
    <x v="0"/>
    <x v="0"/>
    <n v="6"/>
    <n v="152"/>
    <n v="912"/>
    <n v="923"/>
    <x v="1"/>
    <n v="0.98808234019501628"/>
  </r>
  <r>
    <x v="265"/>
    <x v="186"/>
    <x v="1"/>
    <x v="1"/>
    <x v="5"/>
    <x v="4"/>
    <n v="5"/>
    <n v="177"/>
    <n v="885"/>
    <n v="1059"/>
    <x v="0"/>
    <n v="0.8356940509915014"/>
  </r>
  <r>
    <x v="266"/>
    <x v="152"/>
    <x v="1"/>
    <x v="1"/>
    <x v="5"/>
    <x v="2"/>
    <n v="5"/>
    <n v="464"/>
    <n v="2320"/>
    <n v="2845"/>
    <x v="0"/>
    <n v="0.81546572934973638"/>
  </r>
  <r>
    <x v="267"/>
    <x v="187"/>
    <x v="0"/>
    <x v="0"/>
    <x v="8"/>
    <x v="5"/>
    <n v="6"/>
    <n v="181"/>
    <n v="1086"/>
    <n v="1025"/>
    <x v="1"/>
    <n v="1.0595121951219513"/>
  </r>
  <r>
    <x v="268"/>
    <x v="188"/>
    <x v="3"/>
    <x v="1"/>
    <x v="5"/>
    <x v="0"/>
    <n v="9"/>
    <n v="102"/>
    <n v="918"/>
    <n v="738"/>
    <x v="1"/>
    <n v="1.2439024390243902"/>
  </r>
  <r>
    <x v="269"/>
    <x v="31"/>
    <x v="0"/>
    <x v="0"/>
    <x v="0"/>
    <x v="0"/>
    <n v="8"/>
    <n v="49"/>
    <n v="392"/>
    <n v="432"/>
    <x v="0"/>
    <n v="0.90740740740740744"/>
  </r>
  <r>
    <x v="270"/>
    <x v="189"/>
    <x v="0"/>
    <x v="0"/>
    <x v="2"/>
    <x v="4"/>
    <n v="3"/>
    <n v="447"/>
    <n v="1341"/>
    <n v="1073"/>
    <x v="1"/>
    <n v="1.2497670083876979"/>
  </r>
  <r>
    <x v="271"/>
    <x v="27"/>
    <x v="1"/>
    <x v="2"/>
    <x v="9"/>
    <x v="4"/>
    <n v="6"/>
    <n v="27"/>
    <n v="162"/>
    <n v="190"/>
    <x v="0"/>
    <n v="0.85263157894736841"/>
  </r>
  <r>
    <x v="272"/>
    <x v="82"/>
    <x v="1"/>
    <x v="0"/>
    <x v="7"/>
    <x v="3"/>
    <n v="9"/>
    <n v="454"/>
    <n v="4086"/>
    <n v="3629"/>
    <x v="1"/>
    <n v="1.1259300082667401"/>
  </r>
  <r>
    <x v="273"/>
    <x v="152"/>
    <x v="2"/>
    <x v="0"/>
    <x v="7"/>
    <x v="5"/>
    <n v="6"/>
    <n v="322"/>
    <n v="1932"/>
    <n v="1761"/>
    <x v="1"/>
    <n v="1.0971039182282794"/>
  </r>
  <r>
    <x v="274"/>
    <x v="190"/>
    <x v="3"/>
    <x v="0"/>
    <x v="2"/>
    <x v="2"/>
    <n v="8"/>
    <n v="42"/>
    <n v="336"/>
    <n v="354"/>
    <x v="1"/>
    <n v="0.94915254237288138"/>
  </r>
  <r>
    <x v="275"/>
    <x v="191"/>
    <x v="0"/>
    <x v="0"/>
    <x v="7"/>
    <x v="2"/>
    <n v="2"/>
    <n v="361"/>
    <n v="722"/>
    <n v="660"/>
    <x v="0"/>
    <n v="1.093939393939394"/>
  </r>
  <r>
    <x v="276"/>
    <x v="192"/>
    <x v="2"/>
    <x v="1"/>
    <x v="5"/>
    <x v="5"/>
    <n v="7"/>
    <n v="23"/>
    <n v="161"/>
    <n v="206"/>
    <x v="0"/>
    <n v="0.78155339805825241"/>
  </r>
  <r>
    <x v="277"/>
    <x v="33"/>
    <x v="3"/>
    <x v="1"/>
    <x v="1"/>
    <x v="5"/>
    <n v="10"/>
    <n v="307"/>
    <n v="3070"/>
    <n v="3018"/>
    <x v="0"/>
    <n v="1.0172299536116634"/>
  </r>
  <r>
    <x v="278"/>
    <x v="22"/>
    <x v="1"/>
    <x v="1"/>
    <x v="1"/>
    <x v="5"/>
    <n v="10"/>
    <n v="255"/>
    <n v="2550"/>
    <n v="2901"/>
    <x v="0"/>
    <n v="0.87900723888314369"/>
  </r>
  <r>
    <x v="279"/>
    <x v="23"/>
    <x v="2"/>
    <x v="0"/>
    <x v="2"/>
    <x v="3"/>
    <n v="10"/>
    <n v="120"/>
    <n v="1200"/>
    <n v="1350"/>
    <x v="0"/>
    <n v="0.88888888888888884"/>
  </r>
  <r>
    <x v="280"/>
    <x v="193"/>
    <x v="2"/>
    <x v="2"/>
    <x v="3"/>
    <x v="0"/>
    <n v="10"/>
    <n v="254"/>
    <n v="2540"/>
    <n v="2766"/>
    <x v="0"/>
    <n v="0.91829356471438905"/>
  </r>
  <r>
    <x v="281"/>
    <x v="194"/>
    <x v="0"/>
    <x v="1"/>
    <x v="5"/>
    <x v="3"/>
    <n v="6"/>
    <n v="206"/>
    <n v="1236"/>
    <n v="1306"/>
    <x v="0"/>
    <n v="0.94640122511485447"/>
  </r>
  <r>
    <x v="282"/>
    <x v="6"/>
    <x v="1"/>
    <x v="2"/>
    <x v="9"/>
    <x v="0"/>
    <n v="6"/>
    <n v="79"/>
    <n v="474"/>
    <n v="570"/>
    <x v="1"/>
    <n v="0.83157894736842108"/>
  </r>
  <r>
    <x v="283"/>
    <x v="195"/>
    <x v="1"/>
    <x v="1"/>
    <x v="6"/>
    <x v="5"/>
    <n v="1"/>
    <n v="455"/>
    <n v="455"/>
    <n v="487"/>
    <x v="0"/>
    <n v="0.93429158110882959"/>
  </r>
  <r>
    <x v="284"/>
    <x v="19"/>
    <x v="3"/>
    <x v="2"/>
    <x v="9"/>
    <x v="4"/>
    <n v="9"/>
    <n v="338"/>
    <n v="3042"/>
    <n v="3099"/>
    <x v="0"/>
    <n v="0.98160696999031949"/>
  </r>
  <r>
    <x v="285"/>
    <x v="196"/>
    <x v="0"/>
    <x v="2"/>
    <x v="3"/>
    <x v="0"/>
    <n v="2"/>
    <n v="207"/>
    <n v="414"/>
    <n v="436"/>
    <x v="0"/>
    <n v="0.94954128440366969"/>
  </r>
  <r>
    <x v="286"/>
    <x v="166"/>
    <x v="0"/>
    <x v="1"/>
    <x v="1"/>
    <x v="5"/>
    <n v="9"/>
    <n v="26"/>
    <n v="234"/>
    <n v="276"/>
    <x v="0"/>
    <n v="0.84782608695652173"/>
  </r>
  <r>
    <x v="287"/>
    <x v="98"/>
    <x v="2"/>
    <x v="2"/>
    <x v="3"/>
    <x v="3"/>
    <n v="8"/>
    <n v="334"/>
    <n v="2672"/>
    <n v="2260"/>
    <x v="1"/>
    <n v="1.1823008849557521"/>
  </r>
  <r>
    <x v="288"/>
    <x v="197"/>
    <x v="0"/>
    <x v="1"/>
    <x v="1"/>
    <x v="0"/>
    <n v="10"/>
    <n v="240"/>
    <n v="2400"/>
    <n v="2991"/>
    <x v="1"/>
    <n v="0.80240722166499501"/>
  </r>
  <r>
    <x v="289"/>
    <x v="198"/>
    <x v="0"/>
    <x v="1"/>
    <x v="6"/>
    <x v="5"/>
    <n v="1"/>
    <n v="433"/>
    <n v="433"/>
    <n v="352"/>
    <x v="1"/>
    <n v="1.2301136363636365"/>
  </r>
  <r>
    <x v="290"/>
    <x v="113"/>
    <x v="2"/>
    <x v="1"/>
    <x v="5"/>
    <x v="3"/>
    <n v="3"/>
    <n v="225"/>
    <n v="675"/>
    <n v="558"/>
    <x v="1"/>
    <n v="1.2096774193548387"/>
  </r>
  <r>
    <x v="291"/>
    <x v="14"/>
    <x v="2"/>
    <x v="1"/>
    <x v="6"/>
    <x v="4"/>
    <n v="9"/>
    <n v="471"/>
    <n v="4239"/>
    <n v="4242"/>
    <x v="0"/>
    <n v="0.99929278642149932"/>
  </r>
  <r>
    <x v="292"/>
    <x v="9"/>
    <x v="2"/>
    <x v="0"/>
    <x v="0"/>
    <x v="5"/>
    <n v="5"/>
    <n v="66"/>
    <n v="330"/>
    <n v="366"/>
    <x v="0"/>
    <n v="0.90163934426229508"/>
  </r>
  <r>
    <x v="293"/>
    <x v="199"/>
    <x v="0"/>
    <x v="1"/>
    <x v="1"/>
    <x v="0"/>
    <n v="3"/>
    <n v="407"/>
    <n v="1221"/>
    <n v="1332"/>
    <x v="1"/>
    <n v="0.91666666666666663"/>
  </r>
  <r>
    <x v="294"/>
    <x v="60"/>
    <x v="3"/>
    <x v="1"/>
    <x v="5"/>
    <x v="1"/>
    <n v="9"/>
    <n v="196"/>
    <n v="1764"/>
    <n v="1933"/>
    <x v="1"/>
    <n v="0.91257113295395753"/>
  </r>
  <r>
    <x v="295"/>
    <x v="41"/>
    <x v="2"/>
    <x v="2"/>
    <x v="4"/>
    <x v="3"/>
    <n v="4"/>
    <n v="37"/>
    <n v="148"/>
    <n v="120"/>
    <x v="1"/>
    <n v="1.2333333333333334"/>
  </r>
  <r>
    <x v="296"/>
    <x v="121"/>
    <x v="0"/>
    <x v="1"/>
    <x v="5"/>
    <x v="0"/>
    <n v="5"/>
    <n v="485"/>
    <n v="2425"/>
    <n v="2514"/>
    <x v="0"/>
    <n v="0.96459824980111375"/>
  </r>
  <r>
    <x v="297"/>
    <x v="26"/>
    <x v="2"/>
    <x v="2"/>
    <x v="9"/>
    <x v="5"/>
    <n v="2"/>
    <n v="164"/>
    <n v="328"/>
    <n v="367"/>
    <x v="0"/>
    <n v="0.89373297002724794"/>
  </r>
  <r>
    <x v="298"/>
    <x v="173"/>
    <x v="3"/>
    <x v="0"/>
    <x v="0"/>
    <x v="0"/>
    <n v="3"/>
    <n v="318"/>
    <n v="954"/>
    <n v="1075"/>
    <x v="1"/>
    <n v="0.88744186046511631"/>
  </r>
  <r>
    <x v="299"/>
    <x v="200"/>
    <x v="0"/>
    <x v="1"/>
    <x v="6"/>
    <x v="3"/>
    <n v="3"/>
    <n v="216"/>
    <n v="648"/>
    <n v="650"/>
    <x v="1"/>
    <n v="0.99692307692307691"/>
  </r>
  <r>
    <x v="300"/>
    <x v="16"/>
    <x v="1"/>
    <x v="0"/>
    <x v="8"/>
    <x v="3"/>
    <n v="6"/>
    <n v="252"/>
    <n v="1512"/>
    <n v="1554"/>
    <x v="0"/>
    <n v="0.97297297297297303"/>
  </r>
  <r>
    <x v="301"/>
    <x v="201"/>
    <x v="1"/>
    <x v="1"/>
    <x v="6"/>
    <x v="5"/>
    <n v="6"/>
    <n v="421"/>
    <n v="2526"/>
    <n v="2451"/>
    <x v="0"/>
    <n v="1.0305997552019583"/>
  </r>
  <r>
    <x v="302"/>
    <x v="202"/>
    <x v="0"/>
    <x v="1"/>
    <x v="1"/>
    <x v="0"/>
    <n v="10"/>
    <n v="294"/>
    <n v="2940"/>
    <n v="3395"/>
    <x v="1"/>
    <n v="0.865979381443299"/>
  </r>
  <r>
    <x v="303"/>
    <x v="55"/>
    <x v="1"/>
    <x v="2"/>
    <x v="3"/>
    <x v="1"/>
    <n v="9"/>
    <n v="292"/>
    <n v="2628"/>
    <n v="2956"/>
    <x v="1"/>
    <n v="0.88903924221921515"/>
  </r>
  <r>
    <x v="304"/>
    <x v="203"/>
    <x v="2"/>
    <x v="1"/>
    <x v="6"/>
    <x v="1"/>
    <n v="1"/>
    <n v="184"/>
    <n v="184"/>
    <n v="168"/>
    <x v="1"/>
    <n v="1.0952380952380953"/>
  </r>
  <r>
    <x v="305"/>
    <x v="204"/>
    <x v="2"/>
    <x v="0"/>
    <x v="7"/>
    <x v="5"/>
    <n v="1"/>
    <n v="66"/>
    <n v="66"/>
    <n v="65"/>
    <x v="0"/>
    <n v="1.0153846153846153"/>
  </r>
  <r>
    <x v="306"/>
    <x v="205"/>
    <x v="3"/>
    <x v="1"/>
    <x v="6"/>
    <x v="1"/>
    <n v="2"/>
    <n v="228"/>
    <n v="456"/>
    <n v="436"/>
    <x v="0"/>
    <n v="1.0458715596330275"/>
  </r>
  <r>
    <x v="307"/>
    <x v="203"/>
    <x v="0"/>
    <x v="1"/>
    <x v="6"/>
    <x v="4"/>
    <n v="9"/>
    <n v="229"/>
    <n v="2061"/>
    <n v="2405"/>
    <x v="1"/>
    <n v="0.85696465696465696"/>
  </r>
  <r>
    <x v="308"/>
    <x v="116"/>
    <x v="2"/>
    <x v="0"/>
    <x v="8"/>
    <x v="2"/>
    <n v="4"/>
    <n v="158"/>
    <n v="632"/>
    <n v="507"/>
    <x v="0"/>
    <n v="1.2465483234714003"/>
  </r>
  <r>
    <x v="309"/>
    <x v="206"/>
    <x v="3"/>
    <x v="1"/>
    <x v="1"/>
    <x v="1"/>
    <n v="3"/>
    <n v="359"/>
    <n v="1077"/>
    <n v="1185"/>
    <x v="1"/>
    <n v="0.90886075949367084"/>
  </r>
  <r>
    <x v="310"/>
    <x v="169"/>
    <x v="3"/>
    <x v="0"/>
    <x v="7"/>
    <x v="2"/>
    <n v="4"/>
    <n v="32"/>
    <n v="128"/>
    <n v="127"/>
    <x v="0"/>
    <n v="1.0078740157480315"/>
  </r>
  <r>
    <x v="311"/>
    <x v="207"/>
    <x v="2"/>
    <x v="2"/>
    <x v="3"/>
    <x v="4"/>
    <n v="8"/>
    <n v="400"/>
    <n v="3200"/>
    <n v="3190"/>
    <x v="1"/>
    <n v="1.0031347962382444"/>
  </r>
  <r>
    <x v="312"/>
    <x v="208"/>
    <x v="3"/>
    <x v="2"/>
    <x v="9"/>
    <x v="4"/>
    <n v="2"/>
    <n v="181"/>
    <n v="362"/>
    <n v="454"/>
    <x v="0"/>
    <n v="0.79735682819383258"/>
  </r>
  <r>
    <x v="313"/>
    <x v="105"/>
    <x v="1"/>
    <x v="0"/>
    <x v="0"/>
    <x v="5"/>
    <n v="5"/>
    <n v="33"/>
    <n v="165"/>
    <n v="211"/>
    <x v="0"/>
    <n v="0.78199052132701419"/>
  </r>
  <r>
    <x v="314"/>
    <x v="209"/>
    <x v="0"/>
    <x v="2"/>
    <x v="4"/>
    <x v="1"/>
    <n v="9"/>
    <n v="35"/>
    <n v="315"/>
    <n v="384"/>
    <x v="1"/>
    <n v="0.8203125"/>
  </r>
  <r>
    <x v="315"/>
    <x v="2"/>
    <x v="2"/>
    <x v="1"/>
    <x v="6"/>
    <x v="1"/>
    <n v="3"/>
    <n v="195"/>
    <n v="585"/>
    <n v="532"/>
    <x v="0"/>
    <n v="1.0996240601503759"/>
  </r>
  <r>
    <x v="316"/>
    <x v="107"/>
    <x v="1"/>
    <x v="1"/>
    <x v="5"/>
    <x v="3"/>
    <n v="1"/>
    <n v="382"/>
    <n v="382"/>
    <n v="405"/>
    <x v="0"/>
    <n v="0.94320987654320987"/>
  </r>
  <r>
    <x v="317"/>
    <x v="87"/>
    <x v="2"/>
    <x v="2"/>
    <x v="4"/>
    <x v="1"/>
    <n v="1"/>
    <n v="272"/>
    <n v="272"/>
    <n v="239"/>
    <x v="1"/>
    <n v="1.1380753138075315"/>
  </r>
  <r>
    <x v="318"/>
    <x v="210"/>
    <x v="1"/>
    <x v="0"/>
    <x v="8"/>
    <x v="5"/>
    <n v="7"/>
    <n v="154"/>
    <n v="1078"/>
    <n v="1055"/>
    <x v="0"/>
    <n v="1.0218009478672985"/>
  </r>
  <r>
    <x v="319"/>
    <x v="37"/>
    <x v="2"/>
    <x v="2"/>
    <x v="3"/>
    <x v="2"/>
    <n v="10"/>
    <n v="317"/>
    <n v="3170"/>
    <n v="3607"/>
    <x v="1"/>
    <n v="0.8788466869975049"/>
  </r>
  <r>
    <x v="320"/>
    <x v="99"/>
    <x v="1"/>
    <x v="1"/>
    <x v="1"/>
    <x v="0"/>
    <n v="2"/>
    <n v="435"/>
    <n v="870"/>
    <n v="730"/>
    <x v="0"/>
    <n v="1.1917808219178083"/>
  </r>
  <r>
    <x v="321"/>
    <x v="139"/>
    <x v="1"/>
    <x v="0"/>
    <x v="0"/>
    <x v="1"/>
    <n v="8"/>
    <n v="491"/>
    <n v="3928"/>
    <n v="4734"/>
    <x v="1"/>
    <n v="0.82974228981833542"/>
  </r>
  <r>
    <x v="322"/>
    <x v="13"/>
    <x v="0"/>
    <x v="1"/>
    <x v="5"/>
    <x v="1"/>
    <n v="9"/>
    <n v="242"/>
    <n v="2178"/>
    <n v="2818"/>
    <x v="1"/>
    <n v="0.77288857345635198"/>
  </r>
  <r>
    <x v="323"/>
    <x v="211"/>
    <x v="2"/>
    <x v="2"/>
    <x v="3"/>
    <x v="3"/>
    <n v="1"/>
    <n v="365"/>
    <n v="365"/>
    <n v="451"/>
    <x v="0"/>
    <n v="0.80931263858093128"/>
  </r>
  <r>
    <x v="324"/>
    <x v="21"/>
    <x v="0"/>
    <x v="1"/>
    <x v="1"/>
    <x v="1"/>
    <n v="7"/>
    <n v="145"/>
    <n v="1015"/>
    <n v="1133"/>
    <x v="0"/>
    <n v="0.89585172109443956"/>
  </r>
  <r>
    <x v="325"/>
    <x v="212"/>
    <x v="3"/>
    <x v="2"/>
    <x v="3"/>
    <x v="0"/>
    <n v="6"/>
    <n v="224"/>
    <n v="1344"/>
    <n v="1398"/>
    <x v="1"/>
    <n v="0.96137339055793991"/>
  </r>
  <r>
    <x v="326"/>
    <x v="207"/>
    <x v="0"/>
    <x v="2"/>
    <x v="3"/>
    <x v="0"/>
    <n v="1"/>
    <n v="485"/>
    <n v="485"/>
    <n v="429"/>
    <x v="1"/>
    <n v="1.1305361305361306"/>
  </r>
  <r>
    <x v="327"/>
    <x v="192"/>
    <x v="1"/>
    <x v="2"/>
    <x v="4"/>
    <x v="3"/>
    <n v="9"/>
    <n v="280"/>
    <n v="2520"/>
    <n v="2044"/>
    <x v="1"/>
    <n v="1.2328767123287672"/>
  </r>
  <r>
    <x v="328"/>
    <x v="213"/>
    <x v="2"/>
    <x v="0"/>
    <x v="7"/>
    <x v="1"/>
    <n v="9"/>
    <n v="253"/>
    <n v="2277"/>
    <n v="2209"/>
    <x v="1"/>
    <n v="1.0307831598008148"/>
  </r>
  <r>
    <x v="329"/>
    <x v="214"/>
    <x v="3"/>
    <x v="1"/>
    <x v="5"/>
    <x v="5"/>
    <n v="10"/>
    <n v="170"/>
    <n v="1700"/>
    <n v="1454"/>
    <x v="1"/>
    <n v="1.1691884456671251"/>
  </r>
  <r>
    <x v="330"/>
    <x v="203"/>
    <x v="2"/>
    <x v="0"/>
    <x v="0"/>
    <x v="4"/>
    <n v="6"/>
    <n v="495"/>
    <n v="2970"/>
    <n v="3652"/>
    <x v="0"/>
    <n v="0.81325301204819278"/>
  </r>
  <r>
    <x v="331"/>
    <x v="215"/>
    <x v="3"/>
    <x v="0"/>
    <x v="8"/>
    <x v="4"/>
    <n v="4"/>
    <n v="138"/>
    <n v="552"/>
    <n v="606"/>
    <x v="0"/>
    <n v="0.91089108910891092"/>
  </r>
  <r>
    <x v="332"/>
    <x v="62"/>
    <x v="1"/>
    <x v="1"/>
    <x v="1"/>
    <x v="0"/>
    <n v="6"/>
    <n v="52"/>
    <n v="312"/>
    <n v="276"/>
    <x v="1"/>
    <n v="1.1304347826086956"/>
  </r>
  <r>
    <x v="333"/>
    <x v="119"/>
    <x v="1"/>
    <x v="1"/>
    <x v="1"/>
    <x v="2"/>
    <n v="8"/>
    <n v="166"/>
    <n v="1328"/>
    <n v="1358"/>
    <x v="0"/>
    <n v="0.9779086892488954"/>
  </r>
  <r>
    <x v="334"/>
    <x v="112"/>
    <x v="0"/>
    <x v="2"/>
    <x v="4"/>
    <x v="2"/>
    <n v="3"/>
    <n v="95"/>
    <n v="285"/>
    <n v="317"/>
    <x v="0"/>
    <n v="0.89905362776025233"/>
  </r>
  <r>
    <x v="335"/>
    <x v="136"/>
    <x v="1"/>
    <x v="2"/>
    <x v="9"/>
    <x v="3"/>
    <n v="4"/>
    <n v="431"/>
    <n v="1724"/>
    <n v="2060"/>
    <x v="1"/>
    <n v="0.8368932038834952"/>
  </r>
  <r>
    <x v="336"/>
    <x v="202"/>
    <x v="0"/>
    <x v="2"/>
    <x v="9"/>
    <x v="3"/>
    <n v="2"/>
    <n v="186"/>
    <n v="372"/>
    <n v="315"/>
    <x v="1"/>
    <n v="1.180952380952381"/>
  </r>
  <r>
    <x v="337"/>
    <x v="69"/>
    <x v="0"/>
    <x v="2"/>
    <x v="9"/>
    <x v="3"/>
    <n v="6"/>
    <n v="311"/>
    <n v="1866"/>
    <n v="1625"/>
    <x v="1"/>
    <n v="1.1483076923076923"/>
  </r>
  <r>
    <x v="338"/>
    <x v="50"/>
    <x v="2"/>
    <x v="0"/>
    <x v="2"/>
    <x v="0"/>
    <n v="6"/>
    <n v="122"/>
    <n v="732"/>
    <n v="648"/>
    <x v="1"/>
    <n v="1.1296296296296295"/>
  </r>
  <r>
    <x v="339"/>
    <x v="132"/>
    <x v="2"/>
    <x v="0"/>
    <x v="2"/>
    <x v="3"/>
    <n v="3"/>
    <n v="135"/>
    <n v="405"/>
    <n v="356"/>
    <x v="0"/>
    <n v="1.1376404494382022"/>
  </r>
  <r>
    <x v="340"/>
    <x v="216"/>
    <x v="2"/>
    <x v="2"/>
    <x v="3"/>
    <x v="3"/>
    <n v="6"/>
    <n v="24"/>
    <n v="144"/>
    <n v="170"/>
    <x v="0"/>
    <n v="0.84705882352941175"/>
  </r>
  <r>
    <x v="341"/>
    <x v="217"/>
    <x v="3"/>
    <x v="0"/>
    <x v="8"/>
    <x v="0"/>
    <n v="7"/>
    <n v="318"/>
    <n v="2226"/>
    <n v="1892"/>
    <x v="1"/>
    <n v="1.1765327695560253"/>
  </r>
  <r>
    <x v="342"/>
    <x v="6"/>
    <x v="2"/>
    <x v="1"/>
    <x v="6"/>
    <x v="0"/>
    <n v="3"/>
    <n v="469"/>
    <n v="1407"/>
    <n v="1212"/>
    <x v="0"/>
    <n v="1.1608910891089108"/>
  </r>
  <r>
    <x v="343"/>
    <x v="218"/>
    <x v="3"/>
    <x v="0"/>
    <x v="2"/>
    <x v="3"/>
    <n v="4"/>
    <n v="301"/>
    <n v="1204"/>
    <n v="1151"/>
    <x v="1"/>
    <n v="1.0460469157254562"/>
  </r>
  <r>
    <x v="344"/>
    <x v="219"/>
    <x v="1"/>
    <x v="2"/>
    <x v="9"/>
    <x v="4"/>
    <n v="5"/>
    <n v="116"/>
    <n v="580"/>
    <n v="651"/>
    <x v="1"/>
    <n v="0.89093701996927799"/>
  </r>
  <r>
    <x v="345"/>
    <x v="220"/>
    <x v="2"/>
    <x v="1"/>
    <x v="6"/>
    <x v="4"/>
    <n v="9"/>
    <n v="340"/>
    <n v="3060"/>
    <n v="3893"/>
    <x v="1"/>
    <n v="0.78602620087336239"/>
  </r>
  <r>
    <x v="346"/>
    <x v="221"/>
    <x v="3"/>
    <x v="2"/>
    <x v="3"/>
    <x v="3"/>
    <n v="7"/>
    <n v="492"/>
    <n v="3444"/>
    <n v="4417"/>
    <x v="1"/>
    <n v="0.77971473851030115"/>
  </r>
  <r>
    <x v="347"/>
    <x v="3"/>
    <x v="2"/>
    <x v="1"/>
    <x v="5"/>
    <x v="1"/>
    <n v="5"/>
    <n v="464"/>
    <n v="2320"/>
    <n v="2448"/>
    <x v="0"/>
    <n v="0.94771241830065356"/>
  </r>
  <r>
    <x v="348"/>
    <x v="73"/>
    <x v="1"/>
    <x v="0"/>
    <x v="7"/>
    <x v="1"/>
    <n v="10"/>
    <n v="273"/>
    <n v="2730"/>
    <n v="2840"/>
    <x v="0"/>
    <n v="0.96126760563380287"/>
  </r>
  <r>
    <x v="349"/>
    <x v="127"/>
    <x v="2"/>
    <x v="2"/>
    <x v="9"/>
    <x v="5"/>
    <n v="9"/>
    <n v="10"/>
    <n v="90"/>
    <n v="88"/>
    <x v="0"/>
    <n v="1.0227272727272727"/>
  </r>
  <r>
    <x v="350"/>
    <x v="222"/>
    <x v="1"/>
    <x v="0"/>
    <x v="7"/>
    <x v="4"/>
    <n v="2"/>
    <n v="465"/>
    <n v="930"/>
    <n v="1174"/>
    <x v="0"/>
    <n v="0.79216354344122653"/>
  </r>
  <r>
    <x v="351"/>
    <x v="223"/>
    <x v="0"/>
    <x v="1"/>
    <x v="6"/>
    <x v="2"/>
    <n v="10"/>
    <n v="217"/>
    <n v="2170"/>
    <n v="1796"/>
    <x v="1"/>
    <n v="1.2082405345211582"/>
  </r>
  <r>
    <x v="352"/>
    <x v="224"/>
    <x v="3"/>
    <x v="0"/>
    <x v="7"/>
    <x v="4"/>
    <n v="10"/>
    <n v="187"/>
    <n v="1870"/>
    <n v="1843"/>
    <x v="0"/>
    <n v="1.0146500271296799"/>
  </r>
  <r>
    <x v="353"/>
    <x v="148"/>
    <x v="1"/>
    <x v="2"/>
    <x v="9"/>
    <x v="0"/>
    <n v="2"/>
    <n v="475"/>
    <n v="950"/>
    <n v="884"/>
    <x v="1"/>
    <n v="1.0746606334841629"/>
  </r>
  <r>
    <x v="354"/>
    <x v="225"/>
    <x v="2"/>
    <x v="1"/>
    <x v="1"/>
    <x v="5"/>
    <n v="8"/>
    <n v="164"/>
    <n v="1312"/>
    <n v="1271"/>
    <x v="0"/>
    <n v="1.032258064516129"/>
  </r>
  <r>
    <x v="355"/>
    <x v="132"/>
    <x v="1"/>
    <x v="1"/>
    <x v="6"/>
    <x v="1"/>
    <n v="6"/>
    <n v="439"/>
    <n v="2634"/>
    <n v="2858"/>
    <x v="1"/>
    <n v="0.92162351294611622"/>
  </r>
  <r>
    <x v="356"/>
    <x v="213"/>
    <x v="3"/>
    <x v="2"/>
    <x v="4"/>
    <x v="4"/>
    <n v="5"/>
    <n v="306"/>
    <n v="1530"/>
    <n v="1356"/>
    <x v="0"/>
    <n v="1.1283185840707965"/>
  </r>
  <r>
    <x v="357"/>
    <x v="226"/>
    <x v="3"/>
    <x v="0"/>
    <x v="2"/>
    <x v="1"/>
    <n v="2"/>
    <n v="260"/>
    <n v="520"/>
    <n v="631"/>
    <x v="1"/>
    <n v="0.82408874801901744"/>
  </r>
  <r>
    <x v="358"/>
    <x v="198"/>
    <x v="2"/>
    <x v="1"/>
    <x v="5"/>
    <x v="3"/>
    <n v="7"/>
    <n v="489"/>
    <n v="3423"/>
    <n v="3361"/>
    <x v="0"/>
    <n v="1.0184468908063076"/>
  </r>
  <r>
    <x v="359"/>
    <x v="101"/>
    <x v="3"/>
    <x v="2"/>
    <x v="9"/>
    <x v="4"/>
    <n v="6"/>
    <n v="80"/>
    <n v="480"/>
    <n v="398"/>
    <x v="0"/>
    <n v="1.2060301507537687"/>
  </r>
  <r>
    <x v="360"/>
    <x v="123"/>
    <x v="0"/>
    <x v="2"/>
    <x v="4"/>
    <x v="5"/>
    <n v="3"/>
    <n v="414"/>
    <n v="1242"/>
    <n v="1597"/>
    <x v="1"/>
    <n v="0.77770820288040077"/>
  </r>
  <r>
    <x v="361"/>
    <x v="227"/>
    <x v="0"/>
    <x v="1"/>
    <x v="6"/>
    <x v="1"/>
    <n v="9"/>
    <n v="154"/>
    <n v="1386"/>
    <n v="1475"/>
    <x v="1"/>
    <n v="0.93966101694915249"/>
  </r>
  <r>
    <x v="362"/>
    <x v="228"/>
    <x v="2"/>
    <x v="1"/>
    <x v="6"/>
    <x v="3"/>
    <n v="5"/>
    <n v="138"/>
    <n v="690"/>
    <n v="613"/>
    <x v="0"/>
    <n v="1.1256117455138663"/>
  </r>
  <r>
    <x v="363"/>
    <x v="115"/>
    <x v="1"/>
    <x v="0"/>
    <x v="0"/>
    <x v="4"/>
    <n v="4"/>
    <n v="283"/>
    <n v="1132"/>
    <n v="952"/>
    <x v="1"/>
    <n v="1.1890756302521008"/>
  </r>
  <r>
    <x v="364"/>
    <x v="63"/>
    <x v="2"/>
    <x v="0"/>
    <x v="8"/>
    <x v="1"/>
    <n v="10"/>
    <n v="224"/>
    <n v="2240"/>
    <n v="2467"/>
    <x v="0"/>
    <n v="0.90798540737738143"/>
  </r>
  <r>
    <x v="365"/>
    <x v="229"/>
    <x v="2"/>
    <x v="0"/>
    <x v="2"/>
    <x v="0"/>
    <n v="10"/>
    <n v="361"/>
    <n v="3610"/>
    <n v="3197"/>
    <x v="0"/>
    <n v="1.129183609634032"/>
  </r>
  <r>
    <x v="366"/>
    <x v="109"/>
    <x v="3"/>
    <x v="0"/>
    <x v="8"/>
    <x v="1"/>
    <n v="3"/>
    <n v="246"/>
    <n v="738"/>
    <n v="943"/>
    <x v="1"/>
    <n v="0.78260869565217395"/>
  </r>
  <r>
    <x v="367"/>
    <x v="230"/>
    <x v="1"/>
    <x v="2"/>
    <x v="3"/>
    <x v="5"/>
    <n v="4"/>
    <n v="381"/>
    <n v="1524"/>
    <n v="1848"/>
    <x v="1"/>
    <n v="0.82467532467532467"/>
  </r>
  <r>
    <x v="368"/>
    <x v="12"/>
    <x v="3"/>
    <x v="0"/>
    <x v="7"/>
    <x v="3"/>
    <n v="7"/>
    <n v="377"/>
    <n v="2639"/>
    <n v="3350"/>
    <x v="0"/>
    <n v="0.78776119402985079"/>
  </r>
  <r>
    <x v="369"/>
    <x v="231"/>
    <x v="2"/>
    <x v="0"/>
    <x v="2"/>
    <x v="0"/>
    <n v="2"/>
    <n v="388"/>
    <n v="776"/>
    <n v="896"/>
    <x v="0"/>
    <n v="0.8660714285714286"/>
  </r>
  <r>
    <x v="370"/>
    <x v="61"/>
    <x v="3"/>
    <x v="1"/>
    <x v="1"/>
    <x v="2"/>
    <n v="3"/>
    <n v="78"/>
    <n v="234"/>
    <n v="272"/>
    <x v="1"/>
    <n v="0.86029411764705888"/>
  </r>
  <r>
    <x v="371"/>
    <x v="232"/>
    <x v="0"/>
    <x v="2"/>
    <x v="9"/>
    <x v="1"/>
    <n v="3"/>
    <n v="95"/>
    <n v="285"/>
    <n v="265"/>
    <x v="0"/>
    <n v="1.0754716981132075"/>
  </r>
  <r>
    <x v="372"/>
    <x v="7"/>
    <x v="2"/>
    <x v="0"/>
    <x v="0"/>
    <x v="0"/>
    <n v="3"/>
    <n v="201"/>
    <n v="603"/>
    <n v="625"/>
    <x v="1"/>
    <n v="0.96479999999999999"/>
  </r>
  <r>
    <x v="373"/>
    <x v="147"/>
    <x v="1"/>
    <x v="1"/>
    <x v="1"/>
    <x v="0"/>
    <n v="9"/>
    <n v="37"/>
    <n v="333"/>
    <n v="364"/>
    <x v="0"/>
    <n v="0.9148351648351648"/>
  </r>
  <r>
    <x v="374"/>
    <x v="233"/>
    <x v="1"/>
    <x v="1"/>
    <x v="6"/>
    <x v="4"/>
    <n v="1"/>
    <n v="132"/>
    <n v="132"/>
    <n v="161"/>
    <x v="1"/>
    <n v="0.81987577639751552"/>
  </r>
  <r>
    <x v="375"/>
    <x v="234"/>
    <x v="1"/>
    <x v="2"/>
    <x v="3"/>
    <x v="4"/>
    <n v="2"/>
    <n v="349"/>
    <n v="698"/>
    <n v="900"/>
    <x v="1"/>
    <n v="0.77555555555555555"/>
  </r>
  <r>
    <x v="376"/>
    <x v="171"/>
    <x v="3"/>
    <x v="1"/>
    <x v="5"/>
    <x v="0"/>
    <n v="3"/>
    <n v="66"/>
    <n v="198"/>
    <n v="170"/>
    <x v="1"/>
    <n v="1.1647058823529413"/>
  </r>
  <r>
    <x v="377"/>
    <x v="194"/>
    <x v="2"/>
    <x v="2"/>
    <x v="9"/>
    <x v="5"/>
    <n v="5"/>
    <n v="276"/>
    <n v="1380"/>
    <n v="1571"/>
    <x v="1"/>
    <n v="0.87842138765117761"/>
  </r>
  <r>
    <x v="378"/>
    <x v="235"/>
    <x v="2"/>
    <x v="1"/>
    <x v="6"/>
    <x v="3"/>
    <n v="1"/>
    <n v="399"/>
    <n v="399"/>
    <n v="416"/>
    <x v="0"/>
    <n v="0.95913461538461542"/>
  </r>
  <r>
    <x v="379"/>
    <x v="236"/>
    <x v="0"/>
    <x v="2"/>
    <x v="9"/>
    <x v="0"/>
    <n v="1"/>
    <n v="102"/>
    <n v="102"/>
    <n v="123"/>
    <x v="0"/>
    <n v="0.82926829268292679"/>
  </r>
  <r>
    <x v="380"/>
    <x v="22"/>
    <x v="0"/>
    <x v="2"/>
    <x v="3"/>
    <x v="3"/>
    <n v="7"/>
    <n v="305"/>
    <n v="2135"/>
    <n v="1875"/>
    <x v="1"/>
    <n v="1.1386666666666667"/>
  </r>
  <r>
    <x v="381"/>
    <x v="108"/>
    <x v="2"/>
    <x v="1"/>
    <x v="1"/>
    <x v="1"/>
    <n v="4"/>
    <n v="336"/>
    <n v="1344"/>
    <n v="1177"/>
    <x v="0"/>
    <n v="1.1418861512319456"/>
  </r>
  <r>
    <x v="382"/>
    <x v="237"/>
    <x v="2"/>
    <x v="1"/>
    <x v="5"/>
    <x v="5"/>
    <n v="1"/>
    <n v="35"/>
    <n v="35"/>
    <n v="38"/>
    <x v="0"/>
    <n v="0.92105263157894735"/>
  </r>
  <r>
    <x v="383"/>
    <x v="238"/>
    <x v="1"/>
    <x v="2"/>
    <x v="3"/>
    <x v="4"/>
    <n v="4"/>
    <n v="146"/>
    <n v="584"/>
    <n v="655"/>
    <x v="1"/>
    <n v="0.89160305343511448"/>
  </r>
  <r>
    <x v="384"/>
    <x v="60"/>
    <x v="3"/>
    <x v="2"/>
    <x v="4"/>
    <x v="4"/>
    <n v="2"/>
    <n v="471"/>
    <n v="942"/>
    <n v="915"/>
    <x v="0"/>
    <n v="1.0295081967213116"/>
  </r>
  <r>
    <x v="385"/>
    <x v="239"/>
    <x v="1"/>
    <x v="1"/>
    <x v="6"/>
    <x v="5"/>
    <n v="1"/>
    <n v="121"/>
    <n v="121"/>
    <n v="126"/>
    <x v="1"/>
    <n v="0.96031746031746035"/>
  </r>
  <r>
    <x v="386"/>
    <x v="240"/>
    <x v="3"/>
    <x v="0"/>
    <x v="7"/>
    <x v="5"/>
    <n v="3"/>
    <n v="497"/>
    <n v="1491"/>
    <n v="1676"/>
    <x v="1"/>
    <n v="0.88961813842482096"/>
  </r>
  <r>
    <x v="387"/>
    <x v="145"/>
    <x v="3"/>
    <x v="2"/>
    <x v="4"/>
    <x v="0"/>
    <n v="2"/>
    <n v="363"/>
    <n v="726"/>
    <n v="864"/>
    <x v="1"/>
    <n v="0.84027777777777779"/>
  </r>
  <r>
    <x v="388"/>
    <x v="187"/>
    <x v="2"/>
    <x v="2"/>
    <x v="4"/>
    <x v="5"/>
    <n v="4"/>
    <n v="428"/>
    <n v="1712"/>
    <n v="1570"/>
    <x v="1"/>
    <n v="1.0904458598726114"/>
  </r>
  <r>
    <x v="389"/>
    <x v="2"/>
    <x v="0"/>
    <x v="1"/>
    <x v="5"/>
    <x v="3"/>
    <n v="7"/>
    <n v="98"/>
    <n v="686"/>
    <n v="660"/>
    <x v="0"/>
    <n v="1.0393939393939393"/>
  </r>
  <r>
    <x v="390"/>
    <x v="241"/>
    <x v="3"/>
    <x v="1"/>
    <x v="6"/>
    <x v="1"/>
    <n v="6"/>
    <n v="395"/>
    <n v="2370"/>
    <n v="2409"/>
    <x v="0"/>
    <n v="0.98381070983810714"/>
  </r>
  <r>
    <x v="391"/>
    <x v="187"/>
    <x v="0"/>
    <x v="2"/>
    <x v="9"/>
    <x v="5"/>
    <n v="6"/>
    <n v="98"/>
    <n v="588"/>
    <n v="737"/>
    <x v="0"/>
    <n v="0.79782903663500682"/>
  </r>
  <r>
    <x v="392"/>
    <x v="238"/>
    <x v="0"/>
    <x v="2"/>
    <x v="4"/>
    <x v="5"/>
    <n v="8"/>
    <n v="83"/>
    <n v="664"/>
    <n v="624"/>
    <x v="1"/>
    <n v="1.0641025641025641"/>
  </r>
  <r>
    <x v="393"/>
    <x v="157"/>
    <x v="2"/>
    <x v="1"/>
    <x v="1"/>
    <x v="3"/>
    <n v="2"/>
    <n v="387"/>
    <n v="774"/>
    <n v="887"/>
    <x v="1"/>
    <n v="0.87260428410372037"/>
  </r>
  <r>
    <x v="394"/>
    <x v="240"/>
    <x v="0"/>
    <x v="0"/>
    <x v="8"/>
    <x v="3"/>
    <n v="10"/>
    <n v="34"/>
    <n v="340"/>
    <n v="313"/>
    <x v="0"/>
    <n v="1.0862619808306708"/>
  </r>
  <r>
    <x v="395"/>
    <x v="242"/>
    <x v="0"/>
    <x v="0"/>
    <x v="2"/>
    <x v="0"/>
    <n v="6"/>
    <n v="495"/>
    <n v="2970"/>
    <n v="3618"/>
    <x v="1"/>
    <n v="0.82089552238805974"/>
  </r>
  <r>
    <x v="396"/>
    <x v="124"/>
    <x v="0"/>
    <x v="2"/>
    <x v="3"/>
    <x v="0"/>
    <n v="10"/>
    <n v="340"/>
    <n v="3400"/>
    <n v="3309"/>
    <x v="1"/>
    <n v="1.0275007555152613"/>
  </r>
  <r>
    <x v="397"/>
    <x v="232"/>
    <x v="2"/>
    <x v="2"/>
    <x v="3"/>
    <x v="4"/>
    <n v="9"/>
    <n v="390"/>
    <n v="3510"/>
    <n v="2994"/>
    <x v="1"/>
    <n v="1.1723446893787575"/>
  </r>
  <r>
    <x v="398"/>
    <x v="94"/>
    <x v="2"/>
    <x v="0"/>
    <x v="7"/>
    <x v="2"/>
    <n v="2"/>
    <n v="17"/>
    <n v="34"/>
    <n v="43"/>
    <x v="0"/>
    <n v="0.79069767441860461"/>
  </r>
  <r>
    <x v="399"/>
    <x v="243"/>
    <x v="1"/>
    <x v="1"/>
    <x v="5"/>
    <x v="2"/>
    <n v="1"/>
    <n v="192"/>
    <n v="192"/>
    <n v="249"/>
    <x v="1"/>
    <n v="0.77108433734939763"/>
  </r>
  <r>
    <x v="400"/>
    <x v="244"/>
    <x v="1"/>
    <x v="2"/>
    <x v="9"/>
    <x v="5"/>
    <n v="9"/>
    <n v="27"/>
    <n v="243"/>
    <n v="295"/>
    <x v="0"/>
    <n v="0.82372881355932204"/>
  </r>
  <r>
    <x v="401"/>
    <x v="245"/>
    <x v="0"/>
    <x v="2"/>
    <x v="3"/>
    <x v="3"/>
    <n v="6"/>
    <n v="52"/>
    <n v="312"/>
    <n v="401"/>
    <x v="0"/>
    <n v="0.77805486284289271"/>
  </r>
  <r>
    <x v="402"/>
    <x v="246"/>
    <x v="0"/>
    <x v="2"/>
    <x v="3"/>
    <x v="1"/>
    <n v="5"/>
    <n v="485"/>
    <n v="2425"/>
    <n v="2085"/>
    <x v="1"/>
    <n v="1.1630695443645085"/>
  </r>
  <r>
    <x v="403"/>
    <x v="233"/>
    <x v="3"/>
    <x v="0"/>
    <x v="8"/>
    <x v="5"/>
    <n v="3"/>
    <n v="290"/>
    <n v="870"/>
    <n v="883"/>
    <x v="1"/>
    <n v="0.98527746319365794"/>
  </r>
  <r>
    <x v="404"/>
    <x v="69"/>
    <x v="3"/>
    <x v="0"/>
    <x v="7"/>
    <x v="1"/>
    <n v="4"/>
    <n v="166"/>
    <n v="664"/>
    <n v="754"/>
    <x v="0"/>
    <n v="0.88063660477453576"/>
  </r>
  <r>
    <x v="405"/>
    <x v="247"/>
    <x v="2"/>
    <x v="1"/>
    <x v="6"/>
    <x v="3"/>
    <n v="2"/>
    <n v="171"/>
    <n v="342"/>
    <n v="419"/>
    <x v="1"/>
    <n v="0.81622911694510736"/>
  </r>
  <r>
    <x v="406"/>
    <x v="49"/>
    <x v="3"/>
    <x v="1"/>
    <x v="5"/>
    <x v="0"/>
    <n v="8"/>
    <n v="11"/>
    <n v="88"/>
    <n v="100"/>
    <x v="1"/>
    <n v="0.88"/>
  </r>
  <r>
    <x v="407"/>
    <x v="248"/>
    <x v="2"/>
    <x v="1"/>
    <x v="6"/>
    <x v="3"/>
    <n v="6"/>
    <n v="376"/>
    <n v="2256"/>
    <n v="2842"/>
    <x v="1"/>
    <n v="0.79380717804363121"/>
  </r>
  <r>
    <x v="408"/>
    <x v="214"/>
    <x v="3"/>
    <x v="1"/>
    <x v="1"/>
    <x v="1"/>
    <n v="4"/>
    <n v="468"/>
    <n v="1872"/>
    <n v="1900"/>
    <x v="1"/>
    <n v="0.98526315789473684"/>
  </r>
  <r>
    <x v="409"/>
    <x v="202"/>
    <x v="2"/>
    <x v="2"/>
    <x v="4"/>
    <x v="2"/>
    <n v="1"/>
    <n v="162"/>
    <n v="162"/>
    <n v="174"/>
    <x v="1"/>
    <n v="0.93103448275862066"/>
  </r>
  <r>
    <x v="410"/>
    <x v="249"/>
    <x v="3"/>
    <x v="0"/>
    <x v="8"/>
    <x v="0"/>
    <n v="7"/>
    <n v="455"/>
    <n v="3185"/>
    <n v="3856"/>
    <x v="0"/>
    <n v="0.82598547717842319"/>
  </r>
  <r>
    <x v="411"/>
    <x v="42"/>
    <x v="1"/>
    <x v="1"/>
    <x v="5"/>
    <x v="4"/>
    <n v="8"/>
    <n v="478"/>
    <n v="3824"/>
    <n v="3793"/>
    <x v="0"/>
    <n v="1.0081729501713683"/>
  </r>
  <r>
    <x v="412"/>
    <x v="217"/>
    <x v="2"/>
    <x v="0"/>
    <x v="8"/>
    <x v="2"/>
    <n v="5"/>
    <n v="282"/>
    <n v="1410"/>
    <n v="1331"/>
    <x v="0"/>
    <n v="1.0593538692712245"/>
  </r>
  <r>
    <x v="413"/>
    <x v="66"/>
    <x v="0"/>
    <x v="2"/>
    <x v="3"/>
    <x v="2"/>
    <n v="8"/>
    <n v="456"/>
    <n v="3648"/>
    <n v="4141"/>
    <x v="0"/>
    <n v="0.88094663124849071"/>
  </r>
  <r>
    <x v="414"/>
    <x v="167"/>
    <x v="3"/>
    <x v="0"/>
    <x v="7"/>
    <x v="4"/>
    <n v="1"/>
    <n v="329"/>
    <n v="329"/>
    <n v="419"/>
    <x v="1"/>
    <n v="0.78520286396181382"/>
  </r>
  <r>
    <x v="415"/>
    <x v="206"/>
    <x v="0"/>
    <x v="2"/>
    <x v="4"/>
    <x v="0"/>
    <n v="1"/>
    <n v="484"/>
    <n v="484"/>
    <n v="467"/>
    <x v="1"/>
    <n v="1.0364025695931478"/>
  </r>
  <r>
    <x v="416"/>
    <x v="60"/>
    <x v="0"/>
    <x v="0"/>
    <x v="0"/>
    <x v="0"/>
    <n v="10"/>
    <n v="277"/>
    <n v="2770"/>
    <n v="3280"/>
    <x v="1"/>
    <n v="0.84451219512195119"/>
  </r>
  <r>
    <x v="417"/>
    <x v="194"/>
    <x v="2"/>
    <x v="1"/>
    <x v="6"/>
    <x v="0"/>
    <n v="7"/>
    <n v="438"/>
    <n v="3066"/>
    <n v="3412"/>
    <x v="0"/>
    <n v="0.89859320046893321"/>
  </r>
  <r>
    <x v="418"/>
    <x v="96"/>
    <x v="1"/>
    <x v="1"/>
    <x v="6"/>
    <x v="3"/>
    <n v="4"/>
    <n v="360"/>
    <n v="1440"/>
    <n v="1675"/>
    <x v="0"/>
    <n v="0.85970149253731343"/>
  </r>
  <r>
    <x v="419"/>
    <x v="186"/>
    <x v="1"/>
    <x v="0"/>
    <x v="8"/>
    <x v="0"/>
    <n v="9"/>
    <n v="424"/>
    <n v="3816"/>
    <n v="3757"/>
    <x v="1"/>
    <n v="1.0157040191642268"/>
  </r>
  <r>
    <x v="420"/>
    <x v="250"/>
    <x v="0"/>
    <x v="2"/>
    <x v="3"/>
    <x v="4"/>
    <n v="2"/>
    <n v="85"/>
    <n v="170"/>
    <n v="204"/>
    <x v="0"/>
    <n v="0.83333333333333337"/>
  </r>
  <r>
    <x v="421"/>
    <x v="43"/>
    <x v="0"/>
    <x v="2"/>
    <x v="4"/>
    <x v="5"/>
    <n v="5"/>
    <n v="265"/>
    <n v="1325"/>
    <n v="1153"/>
    <x v="0"/>
    <n v="1.1491760624457936"/>
  </r>
  <r>
    <x v="422"/>
    <x v="221"/>
    <x v="0"/>
    <x v="2"/>
    <x v="9"/>
    <x v="1"/>
    <n v="5"/>
    <n v="494"/>
    <n v="2470"/>
    <n v="2788"/>
    <x v="0"/>
    <n v="0.88593974175035872"/>
  </r>
  <r>
    <x v="423"/>
    <x v="209"/>
    <x v="1"/>
    <x v="1"/>
    <x v="5"/>
    <x v="2"/>
    <n v="1"/>
    <n v="262"/>
    <n v="262"/>
    <n v="267"/>
    <x v="0"/>
    <n v="0.98127340823970033"/>
  </r>
  <r>
    <x v="424"/>
    <x v="6"/>
    <x v="0"/>
    <x v="0"/>
    <x v="7"/>
    <x v="2"/>
    <n v="7"/>
    <n v="346"/>
    <n v="2422"/>
    <n v="3129"/>
    <x v="1"/>
    <n v="0.77404921700223717"/>
  </r>
  <r>
    <x v="425"/>
    <x v="108"/>
    <x v="0"/>
    <x v="1"/>
    <x v="5"/>
    <x v="5"/>
    <n v="9"/>
    <n v="491"/>
    <n v="4419"/>
    <n v="4965"/>
    <x v="0"/>
    <n v="0.89003021148036254"/>
  </r>
  <r>
    <x v="426"/>
    <x v="227"/>
    <x v="3"/>
    <x v="2"/>
    <x v="4"/>
    <x v="0"/>
    <n v="4"/>
    <n v="459"/>
    <n v="1836"/>
    <n v="2121"/>
    <x v="1"/>
    <n v="0.86562942008486565"/>
  </r>
  <r>
    <x v="427"/>
    <x v="222"/>
    <x v="1"/>
    <x v="2"/>
    <x v="9"/>
    <x v="2"/>
    <n v="10"/>
    <n v="278"/>
    <n v="2780"/>
    <n v="2510"/>
    <x v="0"/>
    <n v="1.1075697211155378"/>
  </r>
  <r>
    <x v="428"/>
    <x v="251"/>
    <x v="1"/>
    <x v="0"/>
    <x v="2"/>
    <x v="3"/>
    <n v="6"/>
    <n v="67"/>
    <n v="402"/>
    <n v="344"/>
    <x v="1"/>
    <n v="1.1686046511627908"/>
  </r>
  <r>
    <x v="429"/>
    <x v="120"/>
    <x v="1"/>
    <x v="0"/>
    <x v="2"/>
    <x v="3"/>
    <n v="7"/>
    <n v="333"/>
    <n v="2331"/>
    <n v="2862"/>
    <x v="1"/>
    <n v="0.81446540880503149"/>
  </r>
  <r>
    <x v="430"/>
    <x v="132"/>
    <x v="1"/>
    <x v="0"/>
    <x v="8"/>
    <x v="4"/>
    <n v="6"/>
    <n v="172"/>
    <n v="1032"/>
    <n v="850"/>
    <x v="1"/>
    <n v="1.2141176470588235"/>
  </r>
  <r>
    <x v="431"/>
    <x v="252"/>
    <x v="2"/>
    <x v="0"/>
    <x v="0"/>
    <x v="1"/>
    <n v="6"/>
    <n v="301"/>
    <n v="1806"/>
    <n v="1924"/>
    <x v="0"/>
    <n v="0.93866943866943864"/>
  </r>
  <r>
    <x v="432"/>
    <x v="179"/>
    <x v="1"/>
    <x v="0"/>
    <x v="7"/>
    <x v="2"/>
    <n v="6"/>
    <n v="283"/>
    <n v="1698"/>
    <n v="1677"/>
    <x v="1"/>
    <n v="1.0125223613595706"/>
  </r>
  <r>
    <x v="433"/>
    <x v="132"/>
    <x v="3"/>
    <x v="0"/>
    <x v="2"/>
    <x v="4"/>
    <n v="6"/>
    <n v="309"/>
    <n v="1854"/>
    <n v="1600"/>
    <x v="1"/>
    <n v="1.1587499999999999"/>
  </r>
  <r>
    <x v="434"/>
    <x v="253"/>
    <x v="2"/>
    <x v="0"/>
    <x v="2"/>
    <x v="3"/>
    <n v="3"/>
    <n v="273"/>
    <n v="819"/>
    <n v="908"/>
    <x v="0"/>
    <n v="0.90198237885462551"/>
  </r>
  <r>
    <x v="435"/>
    <x v="100"/>
    <x v="0"/>
    <x v="0"/>
    <x v="8"/>
    <x v="4"/>
    <n v="2"/>
    <n v="82"/>
    <n v="164"/>
    <n v="212"/>
    <x v="1"/>
    <n v="0.77358490566037741"/>
  </r>
  <r>
    <x v="436"/>
    <x v="254"/>
    <x v="1"/>
    <x v="1"/>
    <x v="6"/>
    <x v="1"/>
    <n v="4"/>
    <n v="57"/>
    <n v="228"/>
    <n v="220"/>
    <x v="1"/>
    <n v="1.0363636363636364"/>
  </r>
  <r>
    <x v="437"/>
    <x v="132"/>
    <x v="3"/>
    <x v="0"/>
    <x v="0"/>
    <x v="3"/>
    <n v="10"/>
    <n v="98"/>
    <n v="980"/>
    <n v="862"/>
    <x v="0"/>
    <n v="1.1368909512761021"/>
  </r>
  <r>
    <x v="438"/>
    <x v="255"/>
    <x v="3"/>
    <x v="2"/>
    <x v="9"/>
    <x v="2"/>
    <n v="10"/>
    <n v="74"/>
    <n v="740"/>
    <n v="635"/>
    <x v="1"/>
    <n v="1.1653543307086613"/>
  </r>
  <r>
    <x v="439"/>
    <x v="256"/>
    <x v="1"/>
    <x v="1"/>
    <x v="1"/>
    <x v="1"/>
    <n v="9"/>
    <n v="28"/>
    <n v="252"/>
    <n v="277"/>
    <x v="1"/>
    <n v="0.90974729241877261"/>
  </r>
  <r>
    <x v="440"/>
    <x v="257"/>
    <x v="3"/>
    <x v="1"/>
    <x v="5"/>
    <x v="2"/>
    <n v="10"/>
    <n v="231"/>
    <n v="2310"/>
    <n v="2603"/>
    <x v="1"/>
    <n v="0.88743757203227047"/>
  </r>
  <r>
    <x v="441"/>
    <x v="258"/>
    <x v="0"/>
    <x v="2"/>
    <x v="4"/>
    <x v="4"/>
    <n v="9"/>
    <n v="302"/>
    <n v="2718"/>
    <n v="3110"/>
    <x v="1"/>
    <n v="0.87395498392282955"/>
  </r>
  <r>
    <x v="442"/>
    <x v="125"/>
    <x v="2"/>
    <x v="2"/>
    <x v="9"/>
    <x v="2"/>
    <n v="1"/>
    <n v="182"/>
    <n v="182"/>
    <n v="216"/>
    <x v="0"/>
    <n v="0.84259259259259256"/>
  </r>
  <r>
    <x v="443"/>
    <x v="37"/>
    <x v="3"/>
    <x v="2"/>
    <x v="3"/>
    <x v="2"/>
    <n v="5"/>
    <n v="358"/>
    <n v="1790"/>
    <n v="1714"/>
    <x v="1"/>
    <n v="1.044340723453909"/>
  </r>
  <r>
    <x v="444"/>
    <x v="118"/>
    <x v="0"/>
    <x v="0"/>
    <x v="7"/>
    <x v="0"/>
    <n v="3"/>
    <n v="203"/>
    <n v="609"/>
    <n v="523"/>
    <x v="0"/>
    <n v="1.1644359464627152"/>
  </r>
  <r>
    <x v="445"/>
    <x v="173"/>
    <x v="3"/>
    <x v="0"/>
    <x v="0"/>
    <x v="5"/>
    <n v="8"/>
    <n v="97"/>
    <n v="776"/>
    <n v="899"/>
    <x v="1"/>
    <n v="0.86318131256952169"/>
  </r>
  <r>
    <x v="446"/>
    <x v="259"/>
    <x v="3"/>
    <x v="2"/>
    <x v="4"/>
    <x v="4"/>
    <n v="6"/>
    <n v="472"/>
    <n v="2832"/>
    <n v="3356"/>
    <x v="0"/>
    <n v="0.84386174016686533"/>
  </r>
  <r>
    <x v="447"/>
    <x v="260"/>
    <x v="3"/>
    <x v="2"/>
    <x v="3"/>
    <x v="0"/>
    <n v="2"/>
    <n v="194"/>
    <n v="388"/>
    <n v="383"/>
    <x v="0"/>
    <n v="1.0130548302872062"/>
  </r>
  <r>
    <x v="448"/>
    <x v="261"/>
    <x v="2"/>
    <x v="1"/>
    <x v="1"/>
    <x v="1"/>
    <n v="5"/>
    <n v="450"/>
    <n v="2250"/>
    <n v="2040"/>
    <x v="0"/>
    <n v="1.1029411764705883"/>
  </r>
  <r>
    <x v="449"/>
    <x v="46"/>
    <x v="2"/>
    <x v="1"/>
    <x v="6"/>
    <x v="1"/>
    <n v="4"/>
    <n v="232"/>
    <n v="928"/>
    <n v="1030"/>
    <x v="0"/>
    <n v="0.90097087378640772"/>
  </r>
  <r>
    <x v="450"/>
    <x v="43"/>
    <x v="3"/>
    <x v="2"/>
    <x v="4"/>
    <x v="0"/>
    <n v="3"/>
    <n v="24"/>
    <n v="72"/>
    <n v="67"/>
    <x v="0"/>
    <n v="1.0746268656716418"/>
  </r>
  <r>
    <x v="451"/>
    <x v="29"/>
    <x v="0"/>
    <x v="2"/>
    <x v="9"/>
    <x v="1"/>
    <n v="10"/>
    <n v="472"/>
    <n v="4720"/>
    <n v="5473"/>
    <x v="1"/>
    <n v="0.86241549424447284"/>
  </r>
  <r>
    <x v="452"/>
    <x v="9"/>
    <x v="2"/>
    <x v="2"/>
    <x v="3"/>
    <x v="4"/>
    <n v="6"/>
    <n v="189"/>
    <n v="1134"/>
    <n v="935"/>
    <x v="1"/>
    <n v="1.2128342245989305"/>
  </r>
  <r>
    <x v="453"/>
    <x v="262"/>
    <x v="2"/>
    <x v="2"/>
    <x v="3"/>
    <x v="5"/>
    <n v="3"/>
    <n v="135"/>
    <n v="405"/>
    <n v="325"/>
    <x v="1"/>
    <n v="1.2461538461538462"/>
  </r>
  <r>
    <x v="454"/>
    <x v="95"/>
    <x v="0"/>
    <x v="2"/>
    <x v="3"/>
    <x v="0"/>
    <n v="2"/>
    <n v="143"/>
    <n v="286"/>
    <n v="348"/>
    <x v="0"/>
    <n v="0.82183908045977017"/>
  </r>
  <r>
    <x v="455"/>
    <x v="43"/>
    <x v="0"/>
    <x v="2"/>
    <x v="4"/>
    <x v="3"/>
    <n v="3"/>
    <n v="470"/>
    <n v="1410"/>
    <n v="1435"/>
    <x v="1"/>
    <n v="0.98257839721254359"/>
  </r>
  <r>
    <x v="456"/>
    <x v="263"/>
    <x v="2"/>
    <x v="1"/>
    <x v="5"/>
    <x v="0"/>
    <n v="2"/>
    <n v="453"/>
    <n v="906"/>
    <n v="751"/>
    <x v="1"/>
    <n v="1.2063914780292944"/>
  </r>
  <r>
    <x v="457"/>
    <x v="214"/>
    <x v="1"/>
    <x v="1"/>
    <x v="1"/>
    <x v="3"/>
    <n v="8"/>
    <n v="456"/>
    <n v="3648"/>
    <n v="3537"/>
    <x v="0"/>
    <n v="1.0313825275657336"/>
  </r>
  <r>
    <x v="458"/>
    <x v="76"/>
    <x v="2"/>
    <x v="0"/>
    <x v="0"/>
    <x v="2"/>
    <n v="4"/>
    <n v="137"/>
    <n v="548"/>
    <n v="704"/>
    <x v="0"/>
    <n v="0.77840909090909094"/>
  </r>
  <r>
    <x v="459"/>
    <x v="188"/>
    <x v="2"/>
    <x v="0"/>
    <x v="2"/>
    <x v="5"/>
    <n v="5"/>
    <n v="228"/>
    <n v="1140"/>
    <n v="1175"/>
    <x v="1"/>
    <n v="0.97021276595744677"/>
  </r>
  <r>
    <x v="460"/>
    <x v="139"/>
    <x v="3"/>
    <x v="2"/>
    <x v="4"/>
    <x v="1"/>
    <n v="7"/>
    <n v="203"/>
    <n v="1421"/>
    <n v="1731"/>
    <x v="1"/>
    <n v="0.82091276718659734"/>
  </r>
  <r>
    <x v="461"/>
    <x v="18"/>
    <x v="1"/>
    <x v="0"/>
    <x v="7"/>
    <x v="2"/>
    <n v="2"/>
    <n v="467"/>
    <n v="934"/>
    <n v="956"/>
    <x v="0"/>
    <n v="0.97698744769874479"/>
  </r>
  <r>
    <x v="462"/>
    <x v="264"/>
    <x v="1"/>
    <x v="2"/>
    <x v="9"/>
    <x v="1"/>
    <n v="6"/>
    <n v="80"/>
    <n v="480"/>
    <n v="612"/>
    <x v="1"/>
    <n v="0.78431372549019607"/>
  </r>
  <r>
    <x v="463"/>
    <x v="91"/>
    <x v="1"/>
    <x v="2"/>
    <x v="4"/>
    <x v="4"/>
    <n v="6"/>
    <n v="412"/>
    <n v="2472"/>
    <n v="2832"/>
    <x v="1"/>
    <n v="0.8728813559322034"/>
  </r>
  <r>
    <x v="464"/>
    <x v="74"/>
    <x v="3"/>
    <x v="0"/>
    <x v="7"/>
    <x v="3"/>
    <n v="8"/>
    <n v="17"/>
    <n v="136"/>
    <n v="121"/>
    <x v="1"/>
    <n v="1.1239669421487604"/>
  </r>
  <r>
    <x v="465"/>
    <x v="162"/>
    <x v="0"/>
    <x v="1"/>
    <x v="6"/>
    <x v="0"/>
    <n v="6"/>
    <n v="457"/>
    <n v="2742"/>
    <n v="2929"/>
    <x v="0"/>
    <n v="0.93615568453397069"/>
  </r>
  <r>
    <x v="466"/>
    <x v="46"/>
    <x v="0"/>
    <x v="0"/>
    <x v="0"/>
    <x v="1"/>
    <n v="1"/>
    <n v="365"/>
    <n v="365"/>
    <n v="330"/>
    <x v="1"/>
    <n v="1.106060606060606"/>
  </r>
  <r>
    <x v="467"/>
    <x v="125"/>
    <x v="3"/>
    <x v="1"/>
    <x v="1"/>
    <x v="0"/>
    <n v="8"/>
    <n v="93"/>
    <n v="744"/>
    <n v="925"/>
    <x v="0"/>
    <n v="0.80432432432432432"/>
  </r>
  <r>
    <x v="468"/>
    <x v="155"/>
    <x v="3"/>
    <x v="2"/>
    <x v="9"/>
    <x v="3"/>
    <n v="5"/>
    <n v="482"/>
    <n v="2410"/>
    <n v="2728"/>
    <x v="0"/>
    <n v="0.88343108504398826"/>
  </r>
  <r>
    <x v="469"/>
    <x v="265"/>
    <x v="2"/>
    <x v="0"/>
    <x v="2"/>
    <x v="2"/>
    <n v="3"/>
    <n v="348"/>
    <n v="1044"/>
    <n v="1287"/>
    <x v="1"/>
    <n v="0.81118881118881114"/>
  </r>
  <r>
    <x v="470"/>
    <x v="161"/>
    <x v="0"/>
    <x v="1"/>
    <x v="1"/>
    <x v="3"/>
    <n v="9"/>
    <n v="417"/>
    <n v="3753"/>
    <n v="3380"/>
    <x v="1"/>
    <n v="1.1103550295857989"/>
  </r>
  <r>
    <x v="471"/>
    <x v="257"/>
    <x v="2"/>
    <x v="2"/>
    <x v="4"/>
    <x v="1"/>
    <n v="9"/>
    <n v="430"/>
    <n v="3870"/>
    <n v="4894"/>
    <x v="0"/>
    <n v="0.79076420106252554"/>
  </r>
  <r>
    <x v="472"/>
    <x v="206"/>
    <x v="3"/>
    <x v="2"/>
    <x v="9"/>
    <x v="4"/>
    <n v="10"/>
    <n v="185"/>
    <n v="1850"/>
    <n v="2145"/>
    <x v="1"/>
    <n v="0.86247086247086246"/>
  </r>
  <r>
    <x v="473"/>
    <x v="213"/>
    <x v="3"/>
    <x v="1"/>
    <x v="6"/>
    <x v="0"/>
    <n v="5"/>
    <n v="388"/>
    <n v="1940"/>
    <n v="2313"/>
    <x v="0"/>
    <n v="0.83873757025508"/>
  </r>
  <r>
    <x v="474"/>
    <x v="248"/>
    <x v="2"/>
    <x v="1"/>
    <x v="5"/>
    <x v="1"/>
    <n v="9"/>
    <n v="140"/>
    <n v="1260"/>
    <n v="1472"/>
    <x v="0"/>
    <n v="0.85597826086956519"/>
  </r>
  <r>
    <x v="475"/>
    <x v="46"/>
    <x v="3"/>
    <x v="2"/>
    <x v="3"/>
    <x v="0"/>
    <n v="7"/>
    <n v="435"/>
    <n v="3045"/>
    <n v="2957"/>
    <x v="1"/>
    <n v="1.0297598917822117"/>
  </r>
  <r>
    <x v="476"/>
    <x v="84"/>
    <x v="2"/>
    <x v="2"/>
    <x v="4"/>
    <x v="1"/>
    <n v="7"/>
    <n v="414"/>
    <n v="2898"/>
    <n v="3201"/>
    <x v="1"/>
    <n v="0.90534208059981258"/>
  </r>
  <r>
    <x v="477"/>
    <x v="181"/>
    <x v="0"/>
    <x v="2"/>
    <x v="3"/>
    <x v="3"/>
    <n v="9"/>
    <n v="41"/>
    <n v="369"/>
    <n v="470"/>
    <x v="1"/>
    <n v="0.78510638297872337"/>
  </r>
  <r>
    <x v="478"/>
    <x v="266"/>
    <x v="0"/>
    <x v="2"/>
    <x v="4"/>
    <x v="2"/>
    <n v="10"/>
    <n v="70"/>
    <n v="700"/>
    <n v="640"/>
    <x v="0"/>
    <n v="1.09375"/>
  </r>
  <r>
    <x v="479"/>
    <x v="208"/>
    <x v="3"/>
    <x v="0"/>
    <x v="7"/>
    <x v="0"/>
    <n v="2"/>
    <n v="27"/>
    <n v="54"/>
    <n v="63"/>
    <x v="0"/>
    <n v="0.8571428571428571"/>
  </r>
  <r>
    <x v="480"/>
    <x v="173"/>
    <x v="3"/>
    <x v="1"/>
    <x v="6"/>
    <x v="3"/>
    <n v="7"/>
    <n v="460"/>
    <n v="3220"/>
    <n v="2978"/>
    <x v="0"/>
    <n v="1.081262592343855"/>
  </r>
  <r>
    <x v="481"/>
    <x v="226"/>
    <x v="0"/>
    <x v="0"/>
    <x v="2"/>
    <x v="2"/>
    <n v="7"/>
    <n v="48"/>
    <n v="336"/>
    <n v="420"/>
    <x v="0"/>
    <n v="0.8"/>
  </r>
  <r>
    <x v="482"/>
    <x v="223"/>
    <x v="1"/>
    <x v="2"/>
    <x v="4"/>
    <x v="1"/>
    <n v="9"/>
    <n v="434"/>
    <n v="3906"/>
    <n v="4073"/>
    <x v="1"/>
    <n v="0.95899828136508714"/>
  </r>
  <r>
    <x v="483"/>
    <x v="52"/>
    <x v="1"/>
    <x v="0"/>
    <x v="2"/>
    <x v="2"/>
    <n v="4"/>
    <n v="173"/>
    <n v="692"/>
    <n v="563"/>
    <x v="0"/>
    <n v="1.2291296625222026"/>
  </r>
  <r>
    <x v="484"/>
    <x v="21"/>
    <x v="3"/>
    <x v="0"/>
    <x v="2"/>
    <x v="2"/>
    <n v="7"/>
    <n v="130"/>
    <n v="910"/>
    <n v="958"/>
    <x v="0"/>
    <n v="0.94989561586638827"/>
  </r>
  <r>
    <x v="485"/>
    <x v="267"/>
    <x v="1"/>
    <x v="2"/>
    <x v="3"/>
    <x v="3"/>
    <n v="8"/>
    <n v="143"/>
    <n v="1144"/>
    <n v="1068"/>
    <x v="1"/>
    <n v="1.0711610486891385"/>
  </r>
  <r>
    <x v="486"/>
    <x v="162"/>
    <x v="1"/>
    <x v="2"/>
    <x v="3"/>
    <x v="0"/>
    <n v="8"/>
    <n v="55"/>
    <n v="440"/>
    <n v="510"/>
    <x v="1"/>
    <n v="0.86274509803921573"/>
  </r>
  <r>
    <x v="487"/>
    <x v="125"/>
    <x v="1"/>
    <x v="0"/>
    <x v="8"/>
    <x v="4"/>
    <n v="10"/>
    <n v="13"/>
    <n v="130"/>
    <n v="157"/>
    <x v="1"/>
    <n v="0.82802547770700641"/>
  </r>
  <r>
    <x v="488"/>
    <x v="239"/>
    <x v="1"/>
    <x v="0"/>
    <x v="2"/>
    <x v="0"/>
    <n v="7"/>
    <n v="439"/>
    <n v="3073"/>
    <n v="2852"/>
    <x v="1"/>
    <n v="1.0774894810659186"/>
  </r>
  <r>
    <x v="489"/>
    <x v="163"/>
    <x v="1"/>
    <x v="0"/>
    <x v="8"/>
    <x v="1"/>
    <n v="10"/>
    <n v="272"/>
    <n v="2720"/>
    <n v="3069"/>
    <x v="1"/>
    <n v="0.88628217660475728"/>
  </r>
  <r>
    <x v="490"/>
    <x v="41"/>
    <x v="3"/>
    <x v="1"/>
    <x v="5"/>
    <x v="5"/>
    <n v="2"/>
    <n v="478"/>
    <n v="956"/>
    <n v="837"/>
    <x v="0"/>
    <n v="1.1421744324970131"/>
  </r>
  <r>
    <x v="491"/>
    <x v="268"/>
    <x v="0"/>
    <x v="1"/>
    <x v="6"/>
    <x v="1"/>
    <n v="4"/>
    <n v="408"/>
    <n v="1632"/>
    <n v="1343"/>
    <x v="1"/>
    <n v="1.2151898734177216"/>
  </r>
  <r>
    <x v="492"/>
    <x v="141"/>
    <x v="1"/>
    <x v="0"/>
    <x v="0"/>
    <x v="1"/>
    <n v="8"/>
    <n v="311"/>
    <n v="2488"/>
    <n v="2320"/>
    <x v="1"/>
    <n v="1.0724137931034483"/>
  </r>
  <r>
    <x v="493"/>
    <x v="194"/>
    <x v="1"/>
    <x v="1"/>
    <x v="1"/>
    <x v="1"/>
    <n v="2"/>
    <n v="475"/>
    <n v="950"/>
    <n v="1213"/>
    <x v="1"/>
    <n v="0.78318219291014013"/>
  </r>
  <r>
    <x v="494"/>
    <x v="269"/>
    <x v="3"/>
    <x v="0"/>
    <x v="0"/>
    <x v="2"/>
    <n v="8"/>
    <n v="184"/>
    <n v="1472"/>
    <n v="1439"/>
    <x v="0"/>
    <n v="1.0229325920778318"/>
  </r>
  <r>
    <x v="495"/>
    <x v="270"/>
    <x v="3"/>
    <x v="0"/>
    <x v="7"/>
    <x v="4"/>
    <n v="10"/>
    <n v="169"/>
    <n v="1690"/>
    <n v="1581"/>
    <x v="1"/>
    <n v="1.0689437065148639"/>
  </r>
  <r>
    <x v="496"/>
    <x v="60"/>
    <x v="3"/>
    <x v="1"/>
    <x v="1"/>
    <x v="2"/>
    <n v="6"/>
    <n v="421"/>
    <n v="2526"/>
    <n v="2420"/>
    <x v="0"/>
    <n v="1.043801652892562"/>
  </r>
  <r>
    <x v="497"/>
    <x v="42"/>
    <x v="2"/>
    <x v="2"/>
    <x v="3"/>
    <x v="5"/>
    <n v="6"/>
    <n v="224"/>
    <n v="1344"/>
    <n v="1719"/>
    <x v="0"/>
    <n v="0.78184991273996507"/>
  </r>
  <r>
    <x v="498"/>
    <x v="168"/>
    <x v="3"/>
    <x v="1"/>
    <x v="5"/>
    <x v="1"/>
    <n v="10"/>
    <n v="426"/>
    <n v="4260"/>
    <n v="5207"/>
    <x v="1"/>
    <n v="0.81812944113693109"/>
  </r>
  <r>
    <x v="499"/>
    <x v="177"/>
    <x v="3"/>
    <x v="2"/>
    <x v="4"/>
    <x v="5"/>
    <n v="4"/>
    <n v="183"/>
    <n v="732"/>
    <n v="833"/>
    <x v="1"/>
    <n v="0.87875150060024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3">
  <location ref="J2:K6"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showAll="0" defaultSubtotal="0">
      <items count="3">
        <item x="0"/>
        <item x="1"/>
        <item x="2"/>
      </items>
    </pivotField>
  </pivotFields>
  <rowFields count="1">
    <field x="3"/>
  </rowFields>
  <rowItems count="4">
    <i>
      <x v="1"/>
    </i>
    <i>
      <x v="2"/>
    </i>
    <i>
      <x/>
    </i>
    <i t="grand">
      <x/>
    </i>
  </rowItems>
  <colItems count="1">
    <i/>
  </colItems>
  <dataFields count="1">
    <dataField name="Sum of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M23:O37" firstHeaderRow="0"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showAll="0"/>
    <pivotField showAll="0"/>
    <pivotField dataField="1" showAll="0"/>
    <pivotField dataField="1" showAll="0"/>
    <pivotField showAll="0">
      <items count="3">
        <item x="1"/>
        <item x="0"/>
        <item t="default"/>
      </items>
    </pivotField>
    <pivotField numFmtId="9" showAll="0"/>
    <pivotField axis="axisRow" showAll="0" defaultSubtotal="0">
      <items count="3">
        <item x="0"/>
        <item x="1"/>
        <item x="2"/>
      </items>
    </pivotField>
  </pivotFields>
  <rowFields count="2">
    <field x="12"/>
    <field x="1"/>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argetSales" fld="9" baseField="0" baseItem="0"/>
    <dataField name="Sum of Sales"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7:E507" firstHeaderRow="0" firstDataRow="1" firstDataCol="1"/>
  <pivotFields count="13">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dataField="1" showAll="0"/>
    <pivotField showAll="0"/>
    <pivotField dataField="1" showAll="0"/>
    <pivotField dataField="1" showAll="0"/>
    <pivotField showAll="0">
      <items count="3">
        <item x="1"/>
        <item x="0"/>
        <item t="default"/>
      </items>
    </pivotField>
    <pivotField dataField="1" numFmtId="9" showAll="0"/>
    <pivotField showAll="0" defaultSubtotal="0">
      <items count="3">
        <item x="0"/>
        <item x="1"/>
        <item x="2"/>
      </items>
    </pivotField>
  </pivotFields>
  <rowFields count="1">
    <field x="0"/>
  </rowFields>
  <rowItems count="5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rowItems>
  <colFields count="1">
    <field x="-2"/>
  </colFields>
  <colItems count="4">
    <i>
      <x/>
    </i>
    <i i="1">
      <x v="1"/>
    </i>
    <i i="2">
      <x v="2"/>
    </i>
    <i i="3">
      <x v="3"/>
    </i>
  </colItems>
  <dataFields count="4">
    <dataField name="Sum of Sales" fld="8" baseField="0" baseItem="0"/>
    <dataField name="Sum of Quantity" fld="6" baseField="0" baseItem="0"/>
    <dataField name="Sum of TargetSales" fld="9" baseField="0" baseItem="0"/>
    <dataField name="Sum of Achievement Target" fld="11" baseField="0" baseItem="0" numFmtId="9"/>
  </dataFields>
  <formats count="1">
    <format dxfId="4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J23:K37"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axis="axisRow" showAll="0" defaultSubtotal="0">
      <items count="3">
        <item x="0"/>
        <item x="1"/>
        <item x="2"/>
      </items>
    </pivotField>
  </pivotFields>
  <rowFields count="2">
    <field x="12"/>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M9:N16"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axis="axisRow" showAll="0" sortType="descending">
      <items count="7">
        <item x="2"/>
        <item x="3"/>
        <item x="4"/>
        <item x="5"/>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1"/>
        <item x="0"/>
        <item t="default"/>
      </items>
    </pivotField>
    <pivotField numFmtId="9" showAll="0"/>
    <pivotField showAll="0" defaultSubtotal="0">
      <items count="3">
        <item x="0"/>
        <item x="1"/>
        <item x="2"/>
      </items>
    </pivotField>
  </pivotFields>
  <rowFields count="1">
    <field x="5"/>
  </rowFields>
  <rowItems count="7">
    <i>
      <x v="4"/>
    </i>
    <i>
      <x v="3"/>
    </i>
    <i>
      <x v="1"/>
    </i>
    <i>
      <x v="2"/>
    </i>
    <i>
      <x v="5"/>
    </i>
    <i>
      <x/>
    </i>
    <i t="grand">
      <x/>
    </i>
  </rowItems>
  <colItems count="1">
    <i/>
  </colItems>
  <dataFields count="1">
    <dataField name="Sum of Sales"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62:K76"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axis="axisRow" showAll="0" defaultSubtotal="0">
      <items count="3">
        <item h="1" x="0"/>
        <item x="1"/>
        <item h="1" x="2"/>
      </items>
    </pivotField>
  </pivotFields>
  <rowFields count="2">
    <field x="12"/>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M41:N55"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dataField="1" showAll="0"/>
    <pivotField showAll="0"/>
    <pivotField showAll="0"/>
    <pivotField showAll="0"/>
    <pivotField showAll="0">
      <items count="3">
        <item x="1"/>
        <item x="0"/>
        <item t="default"/>
      </items>
    </pivotField>
    <pivotField numFmtId="9" showAll="0"/>
    <pivotField axis="axisRow" showAll="0" defaultSubtotal="0">
      <items count="3">
        <item x="0"/>
        <item x="1"/>
        <item x="2"/>
      </items>
    </pivotField>
  </pivotFields>
  <rowFields count="2">
    <field x="12"/>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9:K20"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axis="axisRow" showAll="0" sortType="descending">
      <items count="11">
        <item x="6"/>
        <item x="5"/>
        <item x="1"/>
        <item x="7"/>
        <item x="0"/>
        <item x="2"/>
        <item x="8"/>
        <item x="4"/>
        <item x="9"/>
        <item x="3"/>
        <item t="default"/>
      </items>
      <autoSortScope>
        <pivotArea dataOnly="0" outline="0" fieldPosition="0">
          <references count="1">
            <reference field="4294967294" count="1" selected="0">
              <x v="0"/>
            </reference>
          </references>
        </pivotArea>
      </autoSortScope>
    </pivotField>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showAll="0" defaultSubtotal="0">
      <items count="3">
        <item x="0"/>
        <item x="1"/>
        <item x="2"/>
      </items>
    </pivotField>
  </pivotFields>
  <rowFields count="1">
    <field x="4"/>
  </rowFields>
  <rowItems count="11">
    <i>
      <x/>
    </i>
    <i>
      <x v="9"/>
    </i>
    <i>
      <x v="1"/>
    </i>
    <i>
      <x v="8"/>
    </i>
    <i>
      <x v="2"/>
    </i>
    <i>
      <x v="7"/>
    </i>
    <i>
      <x v="6"/>
    </i>
    <i>
      <x v="3"/>
    </i>
    <i>
      <x v="4"/>
    </i>
    <i>
      <x v="5"/>
    </i>
    <i t="grand">
      <x/>
    </i>
  </rowItems>
  <colItems count="1">
    <i/>
  </colItems>
  <dataFields count="1">
    <dataField name="Sum of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40:K54"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0"/>
        <item x="1"/>
        <item x="2"/>
        <item t="default"/>
      </items>
    </pivotField>
    <pivotField showAll="0"/>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axis="axisRow" showAll="0" defaultSubtotal="0">
      <items count="3">
        <item x="0"/>
        <item x="1"/>
        <item x="2"/>
      </items>
    </pivotField>
  </pivotFields>
  <rowFields count="2">
    <field x="12"/>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M2:N7"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7">
        <item x="2"/>
        <item x="3"/>
        <item x="4"/>
        <item x="5"/>
        <item x="0"/>
        <item x="1"/>
        <item t="default"/>
      </items>
    </pivotField>
    <pivotField showAll="0"/>
    <pivotField showAll="0"/>
    <pivotField dataField="1" showAll="0"/>
    <pivotField showAll="0"/>
    <pivotField showAll="0">
      <items count="3">
        <item x="1"/>
        <item x="0"/>
        <item t="default"/>
      </items>
    </pivotField>
    <pivotField numFmtId="9" showAll="0"/>
    <pivotField showAll="0" defaultSubtotal="0">
      <items count="3">
        <item x="0"/>
        <item x="1"/>
        <item x="2"/>
      </items>
    </pivotField>
  </pivotFields>
  <rowFields count="1">
    <field x="2"/>
  </rowFields>
  <rowItems count="5">
    <i>
      <x v="1"/>
    </i>
    <i>
      <x/>
    </i>
    <i>
      <x v="3"/>
    </i>
    <i>
      <x v="2"/>
    </i>
    <i t="grand">
      <x/>
    </i>
  </rowItems>
  <colItems count="1">
    <i/>
  </colItems>
  <dataFields count="1">
    <dataField name="Sum of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Date" sourceName="OrderDate">
  <pivotTables>
    <pivotTable tabId="3" name="PivotTable14"/>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5"/>
    <pivotTable tabId="3" name="PivotTable12"/>
    <pivotTable tabId="3" name="PivotTable13"/>
    <pivotTable tabId="3" name="PivotTable14"/>
    <pivotTable tabId="3" name="PivotTable3"/>
    <pivotTable tabId="3" name="PivotTable4"/>
    <pivotTable tabId="3" name="PivotTable6"/>
    <pivotTable tabId="3" name="PivotTable7"/>
    <pivotTable tabId="3" name="PivotTable8"/>
    <pivotTable tabId="3" name="PivotTable9"/>
  </pivotTables>
  <data>
    <tabular pivotCacheId="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 tabId="3" name="PivotTable12"/>
    <pivotTable tabId="3" name="PivotTable13"/>
    <pivotTable tabId="3" name="PivotTable14"/>
    <pivotTable tabId="3" name="PivotTable3"/>
    <pivotTable tabId="3" name="PivotTable5"/>
    <pivotTable tabId="3" name="PivotTable6"/>
    <pivotTable tabId="3" name="PivotTable7"/>
    <pivotTable tabId="3" name="PivotTable8"/>
    <pivotTable tabId="3" name="PivotTable9"/>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3" name="PivotTable7"/>
    <pivotTable tabId="3" name="PivotTable12"/>
    <pivotTable tabId="3" name="PivotTable13"/>
    <pivotTable tabId="3" name="PivotTable14"/>
    <pivotTable tabId="3" name="PivotTable3"/>
    <pivotTable tabId="3" name="PivotTable4"/>
    <pivotTable tabId="3" name="PivotTable5"/>
    <pivotTable tabId="3" name="PivotTable6"/>
    <pivotTable tabId="3" name="PivotTable8"/>
    <pivotTable tabId="3" name="PivotTable9"/>
  </pivotTables>
  <data>
    <tabular pivotCacheId="1">
      <items count="6">
        <i x="2" s="1"/>
        <i x="3" s="1"/>
        <i x="4" s="1"/>
        <i x="5"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Type" sourceName="CustomerType">
  <pivotTables>
    <pivotTable tabId="3" name="PivotTable6"/>
    <pivotTable tabId="3" name="PivotTable12"/>
    <pivotTable tabId="3" name="PivotTable13"/>
    <pivotTable tabId="3" name="PivotTable14"/>
    <pivotTable tabId="3" name="PivotTable3"/>
    <pivotTable tabId="3" name="PivotTable4"/>
    <pivotTable tabId="3" name="PivotTable5"/>
    <pivotTable tabId="3" name="PivotTable7"/>
    <pivotTable tabId="3" name="PivotTable8"/>
    <pivotTable tabId="3"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Date" cache="Slicer_OrderDate" caption="OrderDate" rowHeight="241300"/>
  <slicer name="Region" cache="Slicer_Region" caption="Region" rowHeight="241300"/>
  <slicer name="Category" cache="Slicer_Category" caption="Category" rowHeight="241300"/>
  <slicer name="Salesperson" cache="Slicer_Salesperson" caption="Salesperson" startItem="2" rowHeight="241300"/>
  <slicer name="CustomerType" cache="Slicer_CustomerType" caption="Customer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1"/>
  <sheetViews>
    <sheetView workbookViewId="0">
      <selection activeCell="L2" sqref="L2"/>
    </sheetView>
  </sheetViews>
  <sheetFormatPr defaultRowHeight="15" x14ac:dyDescent="0.25"/>
  <cols>
    <col min="1" max="1" width="13.5703125" style="2" customWidth="1"/>
    <col min="2" max="2" width="22.42578125" style="2" customWidth="1"/>
    <col min="3" max="3" width="14.140625" style="2" customWidth="1"/>
    <col min="4" max="4" width="18.140625" style="2" customWidth="1"/>
    <col min="5" max="5" width="22.28515625" style="2" customWidth="1"/>
    <col min="6" max="6" width="15" style="2" customWidth="1"/>
    <col min="7" max="7" width="9.140625" style="2"/>
    <col min="8" max="8" width="10.5703125" style="2" customWidth="1"/>
    <col min="9" max="10" width="12.85546875" style="2" customWidth="1"/>
    <col min="11" max="11" width="14.5703125" style="2" customWidth="1"/>
    <col min="12" max="12" width="23.42578125" style="2" customWidth="1"/>
    <col min="13" max="13" width="26.140625" customWidth="1"/>
    <col min="14" max="14" width="9.140625" customWidth="1"/>
  </cols>
  <sheetData>
    <row r="1" spans="1:14" ht="15.75" x14ac:dyDescent="0.25">
      <c r="A1" s="1" t="s">
        <v>0</v>
      </c>
      <c r="B1" s="1" t="s">
        <v>1</v>
      </c>
      <c r="C1" s="1" t="s">
        <v>2</v>
      </c>
      <c r="D1" s="1" t="s">
        <v>3</v>
      </c>
      <c r="E1" s="1" t="s">
        <v>4</v>
      </c>
      <c r="F1" s="1" t="s">
        <v>5</v>
      </c>
      <c r="G1" s="1" t="s">
        <v>6</v>
      </c>
      <c r="H1" s="1" t="s">
        <v>7</v>
      </c>
      <c r="I1" s="1" t="s">
        <v>8</v>
      </c>
      <c r="J1" s="1" t="s">
        <v>9</v>
      </c>
      <c r="K1" s="1" t="s">
        <v>10</v>
      </c>
      <c r="L1" s="1" t="s">
        <v>219</v>
      </c>
    </row>
    <row r="2" spans="1:14" x14ac:dyDescent="0.25">
      <c r="A2" s="2">
        <v>1001</v>
      </c>
      <c r="B2" s="3">
        <v>45888</v>
      </c>
      <c r="C2" s="2" t="s">
        <v>11</v>
      </c>
      <c r="D2" s="2" t="s">
        <v>12</v>
      </c>
      <c r="E2" s="2" t="s">
        <v>13</v>
      </c>
      <c r="F2" s="2" t="s">
        <v>14</v>
      </c>
      <c r="G2" s="2">
        <v>9</v>
      </c>
      <c r="H2" s="2">
        <v>176</v>
      </c>
      <c r="I2" s="2">
        <v>1584</v>
      </c>
      <c r="J2" s="2">
        <v>1951</v>
      </c>
      <c r="K2" s="2" t="s">
        <v>15</v>
      </c>
      <c r="L2" s="19">
        <f>SalesData!I2/SalesData!J2</f>
        <v>0.81189133777549971</v>
      </c>
      <c r="M2" s="5"/>
      <c r="N2" s="5"/>
    </row>
    <row r="3" spans="1:14" x14ac:dyDescent="0.25">
      <c r="A3" s="2">
        <v>1002</v>
      </c>
      <c r="B3" s="3">
        <v>45980</v>
      </c>
      <c r="C3" s="2" t="s">
        <v>16</v>
      </c>
      <c r="D3" s="2" t="s">
        <v>17</v>
      </c>
      <c r="E3" s="2" t="s">
        <v>18</v>
      </c>
      <c r="F3" s="2" t="s">
        <v>19</v>
      </c>
      <c r="G3" s="2">
        <v>9</v>
      </c>
      <c r="H3" s="2">
        <v>405</v>
      </c>
      <c r="I3" s="2">
        <v>3645</v>
      </c>
      <c r="J3" s="2">
        <v>3523</v>
      </c>
      <c r="K3" s="2" t="s">
        <v>20</v>
      </c>
      <c r="L3" s="19">
        <f>SalesData!I3/SalesData!J3</f>
        <v>1.0346295770650014</v>
      </c>
    </row>
    <row r="4" spans="1:14" x14ac:dyDescent="0.25">
      <c r="A4" s="2">
        <v>1003</v>
      </c>
      <c r="B4" s="3">
        <v>45670</v>
      </c>
      <c r="C4" s="2" t="s">
        <v>11</v>
      </c>
      <c r="D4" s="2" t="s">
        <v>12</v>
      </c>
      <c r="E4" s="2" t="s">
        <v>21</v>
      </c>
      <c r="F4" s="2" t="s">
        <v>22</v>
      </c>
      <c r="G4" s="2">
        <v>2</v>
      </c>
      <c r="H4" s="2">
        <v>152</v>
      </c>
      <c r="I4" s="2">
        <v>304</v>
      </c>
      <c r="J4" s="2">
        <v>373</v>
      </c>
      <c r="K4" s="2" t="s">
        <v>20</v>
      </c>
      <c r="L4" s="19">
        <f>SalesData!I4/SalesData!J4</f>
        <v>0.81501340482573725</v>
      </c>
    </row>
    <row r="5" spans="1:14" x14ac:dyDescent="0.25">
      <c r="A5" s="2">
        <v>1004</v>
      </c>
      <c r="B5" s="3">
        <v>45916</v>
      </c>
      <c r="C5" s="2" t="s">
        <v>11</v>
      </c>
      <c r="D5" s="2" t="s">
        <v>23</v>
      </c>
      <c r="E5" s="2" t="s">
        <v>24</v>
      </c>
      <c r="F5" s="2" t="s">
        <v>14</v>
      </c>
      <c r="G5" s="2">
        <v>10</v>
      </c>
      <c r="H5" s="2">
        <v>494</v>
      </c>
      <c r="I5" s="2">
        <v>4940</v>
      </c>
      <c r="J5" s="2">
        <v>5312</v>
      </c>
      <c r="K5" s="2" t="s">
        <v>15</v>
      </c>
      <c r="L5" s="19">
        <f>SalesData!I5/SalesData!J5</f>
        <v>0.92996987951807231</v>
      </c>
    </row>
    <row r="6" spans="1:14" x14ac:dyDescent="0.25">
      <c r="A6" s="2">
        <v>1005</v>
      </c>
      <c r="B6" s="3">
        <v>45778</v>
      </c>
      <c r="C6" s="2" t="s">
        <v>25</v>
      </c>
      <c r="D6" s="2" t="s">
        <v>23</v>
      </c>
      <c r="E6" s="2" t="s">
        <v>26</v>
      </c>
      <c r="F6" s="2" t="s">
        <v>19</v>
      </c>
      <c r="G6" s="2">
        <v>9</v>
      </c>
      <c r="H6" s="2">
        <v>178</v>
      </c>
      <c r="I6" s="2">
        <v>1602</v>
      </c>
      <c r="J6" s="2">
        <v>1745</v>
      </c>
      <c r="K6" s="2" t="s">
        <v>15</v>
      </c>
      <c r="L6" s="19">
        <f>SalesData!I6/SalesData!J6</f>
        <v>0.9180515759312321</v>
      </c>
      <c r="M6" s="7"/>
    </row>
    <row r="7" spans="1:14" x14ac:dyDescent="0.25">
      <c r="A7" s="2">
        <v>1006</v>
      </c>
      <c r="B7" s="3">
        <v>45761</v>
      </c>
      <c r="C7" s="2" t="s">
        <v>25</v>
      </c>
      <c r="D7" s="2" t="s">
        <v>17</v>
      </c>
      <c r="E7" s="2" t="s">
        <v>27</v>
      </c>
      <c r="F7" s="2" t="s">
        <v>19</v>
      </c>
      <c r="G7" s="2">
        <v>4</v>
      </c>
      <c r="H7" s="2">
        <v>298</v>
      </c>
      <c r="I7" s="2">
        <v>1192</v>
      </c>
      <c r="J7" s="2">
        <v>1418</v>
      </c>
      <c r="K7" s="2" t="s">
        <v>20</v>
      </c>
      <c r="L7" s="19">
        <f>SalesData!I7/SalesData!J7</f>
        <v>0.84062059238363895</v>
      </c>
      <c r="M7" s="7"/>
    </row>
    <row r="8" spans="1:14" x14ac:dyDescent="0.25">
      <c r="A8" s="2">
        <v>1007</v>
      </c>
      <c r="B8" s="3">
        <v>45702</v>
      </c>
      <c r="C8" s="2" t="s">
        <v>28</v>
      </c>
      <c r="D8" s="2" t="s">
        <v>12</v>
      </c>
      <c r="E8" s="2" t="s">
        <v>21</v>
      </c>
      <c r="F8" s="2" t="s">
        <v>29</v>
      </c>
      <c r="G8" s="2">
        <v>4</v>
      </c>
      <c r="H8" s="2">
        <v>338</v>
      </c>
      <c r="I8" s="2">
        <v>1352</v>
      </c>
      <c r="J8" s="2">
        <v>1207</v>
      </c>
      <c r="K8" s="2" t="s">
        <v>15</v>
      </c>
      <c r="L8" s="19">
        <f>SalesData!I8/SalesData!J8</f>
        <v>1.1201325600662799</v>
      </c>
      <c r="M8" s="7"/>
    </row>
    <row r="9" spans="1:14" x14ac:dyDescent="0.25">
      <c r="A9" s="2">
        <v>1008</v>
      </c>
      <c r="B9" s="3">
        <v>45862</v>
      </c>
      <c r="C9" s="2" t="s">
        <v>11</v>
      </c>
      <c r="D9" s="2" t="s">
        <v>17</v>
      </c>
      <c r="E9" s="2" t="s">
        <v>30</v>
      </c>
      <c r="F9" s="2" t="s">
        <v>31</v>
      </c>
      <c r="G9" s="2">
        <v>7</v>
      </c>
      <c r="H9" s="2">
        <v>377</v>
      </c>
      <c r="I9" s="2">
        <v>2639</v>
      </c>
      <c r="J9" s="2">
        <v>2874</v>
      </c>
      <c r="K9" s="2" t="s">
        <v>15</v>
      </c>
      <c r="L9" s="19">
        <f>SalesData!I9/SalesData!J9</f>
        <v>0.91823242867084198</v>
      </c>
      <c r="M9" s="7"/>
    </row>
    <row r="10" spans="1:14" x14ac:dyDescent="0.25">
      <c r="A10" s="2">
        <v>1009</v>
      </c>
      <c r="B10" s="3">
        <v>45791</v>
      </c>
      <c r="C10" s="2" t="s">
        <v>11</v>
      </c>
      <c r="D10" s="2" t="s">
        <v>12</v>
      </c>
      <c r="E10" s="2" t="s">
        <v>21</v>
      </c>
      <c r="F10" s="2" t="s">
        <v>32</v>
      </c>
      <c r="G10" s="2">
        <v>7</v>
      </c>
      <c r="H10" s="2">
        <v>466</v>
      </c>
      <c r="I10" s="2">
        <v>3262</v>
      </c>
      <c r="J10" s="2">
        <v>4014</v>
      </c>
      <c r="K10" s="2" t="s">
        <v>20</v>
      </c>
      <c r="L10" s="19">
        <f>SalesData!I10/SalesData!J10</f>
        <v>0.8126557050323866</v>
      </c>
      <c r="M10" s="7"/>
    </row>
    <row r="11" spans="1:14" x14ac:dyDescent="0.25">
      <c r="A11" s="2">
        <v>1010</v>
      </c>
      <c r="B11" s="3">
        <v>45921</v>
      </c>
      <c r="C11" s="2" t="s">
        <v>11</v>
      </c>
      <c r="D11" s="2" t="s">
        <v>17</v>
      </c>
      <c r="E11" s="2" t="s">
        <v>27</v>
      </c>
      <c r="F11" s="2" t="s">
        <v>32</v>
      </c>
      <c r="G11" s="2">
        <v>1</v>
      </c>
      <c r="H11" s="2">
        <v>469</v>
      </c>
      <c r="I11" s="2">
        <v>469</v>
      </c>
      <c r="J11" s="2">
        <v>516</v>
      </c>
      <c r="K11" s="2" t="s">
        <v>20</v>
      </c>
      <c r="L11" s="19">
        <f>SalesData!I11/SalesData!J11</f>
        <v>0.90891472868217049</v>
      </c>
      <c r="M11" s="7"/>
    </row>
    <row r="12" spans="1:14" x14ac:dyDescent="0.25">
      <c r="A12" s="2">
        <v>1011</v>
      </c>
      <c r="B12" s="3">
        <v>45836</v>
      </c>
      <c r="C12" s="2" t="s">
        <v>28</v>
      </c>
      <c r="D12" s="2" t="s">
        <v>12</v>
      </c>
      <c r="E12" s="2" t="s">
        <v>21</v>
      </c>
      <c r="F12" s="2" t="s">
        <v>19</v>
      </c>
      <c r="G12" s="2">
        <v>4</v>
      </c>
      <c r="H12" s="2">
        <v>250</v>
      </c>
      <c r="I12" s="2">
        <v>1000</v>
      </c>
      <c r="J12" s="2">
        <v>1115</v>
      </c>
      <c r="K12" s="2" t="s">
        <v>15</v>
      </c>
      <c r="L12" s="19">
        <f>SalesData!I12/SalesData!J12</f>
        <v>0.89686098654708524</v>
      </c>
      <c r="M12" s="7"/>
    </row>
    <row r="13" spans="1:14" x14ac:dyDescent="0.25">
      <c r="A13" s="2">
        <v>1012</v>
      </c>
      <c r="B13" s="3">
        <v>45921</v>
      </c>
      <c r="C13" s="2" t="s">
        <v>25</v>
      </c>
      <c r="D13" s="2" t="s">
        <v>12</v>
      </c>
      <c r="E13" s="2" t="s">
        <v>21</v>
      </c>
      <c r="F13" s="2" t="s">
        <v>14</v>
      </c>
      <c r="G13" s="2">
        <v>1</v>
      </c>
      <c r="H13" s="2">
        <v>317</v>
      </c>
      <c r="I13" s="2">
        <v>317</v>
      </c>
      <c r="J13" s="2">
        <v>265</v>
      </c>
      <c r="K13" s="2" t="s">
        <v>15</v>
      </c>
      <c r="L13" s="19">
        <f>SalesData!I13/SalesData!J13</f>
        <v>1.1962264150943396</v>
      </c>
      <c r="M13" s="7"/>
    </row>
    <row r="14" spans="1:14" x14ac:dyDescent="0.25">
      <c r="A14" s="2">
        <v>1013</v>
      </c>
      <c r="B14" s="3">
        <v>45701</v>
      </c>
      <c r="C14" s="2" t="s">
        <v>11</v>
      </c>
      <c r="D14" s="2" t="s">
        <v>12</v>
      </c>
      <c r="E14" s="2" t="s">
        <v>13</v>
      </c>
      <c r="F14" s="2" t="s">
        <v>32</v>
      </c>
      <c r="G14" s="2">
        <v>10</v>
      </c>
      <c r="H14" s="2">
        <v>235</v>
      </c>
      <c r="I14" s="2">
        <v>2350</v>
      </c>
      <c r="J14" s="2">
        <v>2188</v>
      </c>
      <c r="K14" s="2" t="s">
        <v>15</v>
      </c>
      <c r="L14" s="19">
        <f>SalesData!I14/SalesData!J14</f>
        <v>1.0740402193784278</v>
      </c>
      <c r="M14" s="7"/>
    </row>
    <row r="15" spans="1:14" x14ac:dyDescent="0.25">
      <c r="A15" s="2">
        <v>1014</v>
      </c>
      <c r="B15" s="3">
        <v>45827</v>
      </c>
      <c r="C15" s="2" t="s">
        <v>16</v>
      </c>
      <c r="D15" s="2" t="s">
        <v>12</v>
      </c>
      <c r="E15" s="2" t="s">
        <v>13</v>
      </c>
      <c r="F15" s="2" t="s">
        <v>14</v>
      </c>
      <c r="G15" s="2">
        <v>6</v>
      </c>
      <c r="H15" s="2">
        <v>400</v>
      </c>
      <c r="I15" s="2">
        <v>2400</v>
      </c>
      <c r="J15" s="2">
        <v>2323</v>
      </c>
      <c r="K15" s="2" t="s">
        <v>20</v>
      </c>
      <c r="L15" s="19">
        <f>SalesData!I15/SalesData!J15</f>
        <v>1.0331467929401636</v>
      </c>
      <c r="M15" s="7"/>
    </row>
    <row r="16" spans="1:14" x14ac:dyDescent="0.25">
      <c r="A16" s="2">
        <v>1015</v>
      </c>
      <c r="B16" s="3">
        <v>45775</v>
      </c>
      <c r="C16" s="2" t="s">
        <v>28</v>
      </c>
      <c r="D16" s="2" t="s">
        <v>23</v>
      </c>
      <c r="E16" s="2" t="s">
        <v>26</v>
      </c>
      <c r="F16" s="2" t="s">
        <v>32</v>
      </c>
      <c r="G16" s="2">
        <v>1</v>
      </c>
      <c r="H16" s="2">
        <v>464</v>
      </c>
      <c r="I16" s="2">
        <v>464</v>
      </c>
      <c r="J16" s="2">
        <v>522</v>
      </c>
      <c r="K16" s="2" t="s">
        <v>15</v>
      </c>
      <c r="L16" s="19">
        <f>SalesData!I16/SalesData!J16</f>
        <v>0.88888888888888884</v>
      </c>
      <c r="M16" s="7"/>
    </row>
    <row r="17" spans="1:12" x14ac:dyDescent="0.25">
      <c r="A17" s="2">
        <v>1016</v>
      </c>
      <c r="B17" s="3">
        <v>45675</v>
      </c>
      <c r="C17" s="2" t="s">
        <v>28</v>
      </c>
      <c r="D17" s="2" t="s">
        <v>12</v>
      </c>
      <c r="E17" s="2" t="s">
        <v>33</v>
      </c>
      <c r="F17" s="2" t="s">
        <v>19</v>
      </c>
      <c r="G17" s="2">
        <v>6</v>
      </c>
      <c r="H17" s="2">
        <v>158</v>
      </c>
      <c r="I17" s="2">
        <v>948</v>
      </c>
      <c r="J17" s="2">
        <v>977</v>
      </c>
      <c r="K17" s="2" t="s">
        <v>20</v>
      </c>
      <c r="L17" s="19">
        <f>SalesData!I17/SalesData!J17</f>
        <v>0.97031729785056298</v>
      </c>
    </row>
    <row r="18" spans="1:12" x14ac:dyDescent="0.25">
      <c r="A18" s="2">
        <v>1017</v>
      </c>
      <c r="B18" s="3">
        <v>45890</v>
      </c>
      <c r="C18" s="2" t="s">
        <v>28</v>
      </c>
      <c r="D18" s="2" t="s">
        <v>23</v>
      </c>
      <c r="E18" s="2" t="s">
        <v>24</v>
      </c>
      <c r="F18" s="2" t="s">
        <v>32</v>
      </c>
      <c r="G18" s="2">
        <v>10</v>
      </c>
      <c r="H18" s="2">
        <v>229</v>
      </c>
      <c r="I18" s="2">
        <v>2290</v>
      </c>
      <c r="J18" s="2">
        <v>2166</v>
      </c>
      <c r="K18" s="2" t="s">
        <v>15</v>
      </c>
      <c r="L18" s="19">
        <f>SalesData!I18/SalesData!J18</f>
        <v>1.0572483841181901</v>
      </c>
    </row>
    <row r="19" spans="1:12" x14ac:dyDescent="0.25">
      <c r="A19" s="2">
        <v>1018</v>
      </c>
      <c r="B19" s="3">
        <v>45899</v>
      </c>
      <c r="C19" s="2" t="s">
        <v>16</v>
      </c>
      <c r="D19" s="2" t="s">
        <v>17</v>
      </c>
      <c r="E19" s="2" t="s">
        <v>27</v>
      </c>
      <c r="F19" s="2" t="s">
        <v>32</v>
      </c>
      <c r="G19" s="2">
        <v>4</v>
      </c>
      <c r="H19" s="2">
        <v>81</v>
      </c>
      <c r="I19" s="2">
        <v>324</v>
      </c>
      <c r="J19" s="2">
        <v>377</v>
      </c>
      <c r="K19" s="2" t="s">
        <v>15</v>
      </c>
      <c r="L19" s="19">
        <f>SalesData!I19/SalesData!J19</f>
        <v>0.85941644562334218</v>
      </c>
    </row>
    <row r="20" spans="1:12" x14ac:dyDescent="0.25">
      <c r="A20" s="2">
        <v>1019</v>
      </c>
      <c r="B20" s="3">
        <v>45937</v>
      </c>
      <c r="C20" s="2" t="s">
        <v>28</v>
      </c>
      <c r="D20" s="2" t="s">
        <v>23</v>
      </c>
      <c r="E20" s="2" t="s">
        <v>24</v>
      </c>
      <c r="F20" s="2" t="s">
        <v>19</v>
      </c>
      <c r="G20" s="2">
        <v>3</v>
      </c>
      <c r="H20" s="2">
        <v>132</v>
      </c>
      <c r="I20" s="2">
        <v>396</v>
      </c>
      <c r="J20" s="2">
        <v>448</v>
      </c>
      <c r="K20" s="2" t="s">
        <v>15</v>
      </c>
      <c r="L20" s="19">
        <f>SalesData!I20/SalesData!J20</f>
        <v>0.8839285714285714</v>
      </c>
    </row>
    <row r="21" spans="1:12" x14ac:dyDescent="0.25">
      <c r="A21" s="2">
        <v>1020</v>
      </c>
      <c r="B21" s="3">
        <v>45698</v>
      </c>
      <c r="C21" s="2" t="s">
        <v>11</v>
      </c>
      <c r="D21" s="2" t="s">
        <v>23</v>
      </c>
      <c r="E21" s="2" t="s">
        <v>24</v>
      </c>
      <c r="F21" s="2" t="s">
        <v>31</v>
      </c>
      <c r="G21" s="2">
        <v>3</v>
      </c>
      <c r="H21" s="2">
        <v>44</v>
      </c>
      <c r="I21" s="2">
        <v>132</v>
      </c>
      <c r="J21" s="2">
        <v>151</v>
      </c>
      <c r="K21" s="2" t="s">
        <v>15</v>
      </c>
      <c r="L21" s="19">
        <f>SalesData!I21/SalesData!J21</f>
        <v>0.8741721854304636</v>
      </c>
    </row>
    <row r="22" spans="1:12" x14ac:dyDescent="0.25">
      <c r="A22" s="2">
        <v>1021</v>
      </c>
      <c r="B22" s="3">
        <v>45897</v>
      </c>
      <c r="C22" s="2" t="s">
        <v>28</v>
      </c>
      <c r="D22" s="2" t="s">
        <v>12</v>
      </c>
      <c r="E22" s="2" t="s">
        <v>34</v>
      </c>
      <c r="F22" s="2" t="s">
        <v>32</v>
      </c>
      <c r="G22" s="2">
        <v>1</v>
      </c>
      <c r="H22" s="2">
        <v>247</v>
      </c>
      <c r="I22" s="2">
        <v>247</v>
      </c>
      <c r="J22" s="2">
        <v>301</v>
      </c>
      <c r="K22" s="2" t="s">
        <v>20</v>
      </c>
      <c r="L22" s="19">
        <f>SalesData!I22/SalesData!J22</f>
        <v>0.82059800664451832</v>
      </c>
    </row>
    <row r="23" spans="1:12" x14ac:dyDescent="0.25">
      <c r="A23" s="2">
        <v>1022</v>
      </c>
      <c r="B23" s="3">
        <v>45962</v>
      </c>
      <c r="C23" s="2" t="s">
        <v>11</v>
      </c>
      <c r="D23" s="2" t="s">
        <v>12</v>
      </c>
      <c r="E23" s="2" t="s">
        <v>34</v>
      </c>
      <c r="F23" s="2" t="s">
        <v>29</v>
      </c>
      <c r="G23" s="2">
        <v>5</v>
      </c>
      <c r="H23" s="2">
        <v>483</v>
      </c>
      <c r="I23" s="2">
        <v>2415</v>
      </c>
      <c r="J23" s="2">
        <v>2528</v>
      </c>
      <c r="K23" s="2" t="s">
        <v>20</v>
      </c>
      <c r="L23" s="19">
        <f>SalesData!I23/SalesData!J23</f>
        <v>0.95530063291139244</v>
      </c>
    </row>
    <row r="24" spans="1:12" x14ac:dyDescent="0.25">
      <c r="A24" s="2">
        <v>1023</v>
      </c>
      <c r="B24" s="3">
        <v>45847</v>
      </c>
      <c r="C24" s="2" t="s">
        <v>16</v>
      </c>
      <c r="D24" s="2" t="s">
        <v>23</v>
      </c>
      <c r="E24" s="2" t="s">
        <v>24</v>
      </c>
      <c r="F24" s="2" t="s">
        <v>29</v>
      </c>
      <c r="G24" s="2">
        <v>9</v>
      </c>
      <c r="H24" s="2">
        <v>74</v>
      </c>
      <c r="I24" s="2">
        <v>666</v>
      </c>
      <c r="J24" s="2">
        <v>547</v>
      </c>
      <c r="K24" s="2" t="s">
        <v>20</v>
      </c>
      <c r="L24" s="19">
        <f>SalesData!I24/SalesData!J24</f>
        <v>1.2175502742230346</v>
      </c>
    </row>
    <row r="25" spans="1:12" x14ac:dyDescent="0.25">
      <c r="A25" s="2">
        <v>1024</v>
      </c>
      <c r="B25" s="3">
        <v>45963</v>
      </c>
      <c r="C25" s="2" t="s">
        <v>16</v>
      </c>
      <c r="D25" s="2" t="s">
        <v>23</v>
      </c>
      <c r="E25" s="2" t="s">
        <v>26</v>
      </c>
      <c r="F25" s="2" t="s">
        <v>22</v>
      </c>
      <c r="G25" s="2">
        <v>9</v>
      </c>
      <c r="H25" s="2">
        <v>131</v>
      </c>
      <c r="I25" s="2">
        <v>1179</v>
      </c>
      <c r="J25" s="2">
        <v>1305</v>
      </c>
      <c r="K25" s="2" t="s">
        <v>20</v>
      </c>
      <c r="L25" s="19">
        <f>SalesData!I25/SalesData!J25</f>
        <v>0.90344827586206899</v>
      </c>
    </row>
    <row r="26" spans="1:12" x14ac:dyDescent="0.25">
      <c r="A26" s="2">
        <v>1025</v>
      </c>
      <c r="B26" s="3">
        <v>46006</v>
      </c>
      <c r="C26" s="2" t="s">
        <v>16</v>
      </c>
      <c r="D26" s="2" t="s">
        <v>17</v>
      </c>
      <c r="E26" s="2" t="s">
        <v>18</v>
      </c>
      <c r="F26" s="2" t="s">
        <v>22</v>
      </c>
      <c r="G26" s="2">
        <v>7</v>
      </c>
      <c r="H26" s="2">
        <v>497</v>
      </c>
      <c r="I26" s="2">
        <v>3479</v>
      </c>
      <c r="J26" s="2">
        <v>4502</v>
      </c>
      <c r="K26" s="2" t="s">
        <v>20</v>
      </c>
      <c r="L26" s="19">
        <f>SalesData!I26/SalesData!J26</f>
        <v>0.772767658818303</v>
      </c>
    </row>
    <row r="27" spans="1:12" x14ac:dyDescent="0.25">
      <c r="A27" s="2">
        <v>1026</v>
      </c>
      <c r="B27" s="3">
        <v>45905</v>
      </c>
      <c r="C27" s="2" t="s">
        <v>11</v>
      </c>
      <c r="D27" s="2" t="s">
        <v>23</v>
      </c>
      <c r="E27" s="2" t="s">
        <v>35</v>
      </c>
      <c r="F27" s="2" t="s">
        <v>29</v>
      </c>
      <c r="G27" s="2">
        <v>9</v>
      </c>
      <c r="H27" s="2">
        <v>449</v>
      </c>
      <c r="I27" s="2">
        <v>4041</v>
      </c>
      <c r="J27" s="2">
        <v>4013</v>
      </c>
      <c r="K27" s="2" t="s">
        <v>15</v>
      </c>
      <c r="L27" s="19">
        <f>SalesData!I27/SalesData!J27</f>
        <v>1.0069773236979815</v>
      </c>
    </row>
    <row r="28" spans="1:12" x14ac:dyDescent="0.25">
      <c r="A28" s="2">
        <v>1027</v>
      </c>
      <c r="B28" s="3">
        <v>45928</v>
      </c>
      <c r="C28" s="2" t="s">
        <v>28</v>
      </c>
      <c r="D28" s="2" t="s">
        <v>17</v>
      </c>
      <c r="E28" s="2" t="s">
        <v>18</v>
      </c>
      <c r="F28" s="2" t="s">
        <v>31</v>
      </c>
      <c r="G28" s="2">
        <v>5</v>
      </c>
      <c r="H28" s="2">
        <v>301</v>
      </c>
      <c r="I28" s="2">
        <v>1505</v>
      </c>
      <c r="J28" s="2">
        <v>1420</v>
      </c>
      <c r="K28" s="2" t="s">
        <v>20</v>
      </c>
      <c r="L28" s="19">
        <f>SalesData!I28/SalesData!J28</f>
        <v>1.0598591549295775</v>
      </c>
    </row>
    <row r="29" spans="1:12" x14ac:dyDescent="0.25">
      <c r="A29" s="2">
        <v>1028</v>
      </c>
      <c r="B29" s="3">
        <v>45949</v>
      </c>
      <c r="C29" s="2" t="s">
        <v>16</v>
      </c>
      <c r="D29" s="2" t="s">
        <v>23</v>
      </c>
      <c r="E29" s="2" t="s">
        <v>35</v>
      </c>
      <c r="F29" s="2" t="s">
        <v>29</v>
      </c>
      <c r="G29" s="2">
        <v>9</v>
      </c>
      <c r="H29" s="2">
        <v>468</v>
      </c>
      <c r="I29" s="2">
        <v>4212</v>
      </c>
      <c r="J29" s="2">
        <v>3436</v>
      </c>
      <c r="K29" s="2" t="s">
        <v>20</v>
      </c>
      <c r="L29" s="19">
        <f>SalesData!I29/SalesData!J29</f>
        <v>1.2258440046565775</v>
      </c>
    </row>
    <row r="30" spans="1:12" x14ac:dyDescent="0.25">
      <c r="A30" s="2">
        <v>1029</v>
      </c>
      <c r="B30" s="3">
        <v>45801</v>
      </c>
      <c r="C30" s="2" t="s">
        <v>25</v>
      </c>
      <c r="D30" s="2" t="s">
        <v>23</v>
      </c>
      <c r="E30" s="2" t="s">
        <v>35</v>
      </c>
      <c r="F30" s="2" t="s">
        <v>32</v>
      </c>
      <c r="G30" s="2">
        <v>2</v>
      </c>
      <c r="H30" s="2">
        <v>101</v>
      </c>
      <c r="I30" s="2">
        <v>202</v>
      </c>
      <c r="J30" s="2">
        <v>237</v>
      </c>
      <c r="K30" s="2" t="s">
        <v>20</v>
      </c>
      <c r="L30" s="19">
        <f>SalesData!I30/SalesData!J30</f>
        <v>0.85232067510548526</v>
      </c>
    </row>
    <row r="31" spans="1:12" x14ac:dyDescent="0.25">
      <c r="A31" s="2">
        <v>1030</v>
      </c>
      <c r="B31" s="3">
        <v>45672</v>
      </c>
      <c r="C31" s="2" t="s">
        <v>25</v>
      </c>
      <c r="D31" s="2" t="s">
        <v>17</v>
      </c>
      <c r="E31" s="2" t="s">
        <v>30</v>
      </c>
      <c r="F31" s="2" t="s">
        <v>29</v>
      </c>
      <c r="G31" s="2">
        <v>6</v>
      </c>
      <c r="H31" s="2">
        <v>417</v>
      </c>
      <c r="I31" s="2">
        <v>2502</v>
      </c>
      <c r="J31" s="2">
        <v>2759</v>
      </c>
      <c r="K31" s="2" t="s">
        <v>15</v>
      </c>
      <c r="L31" s="19">
        <f>SalesData!I31/SalesData!J31</f>
        <v>0.90685030808263867</v>
      </c>
    </row>
    <row r="32" spans="1:12" x14ac:dyDescent="0.25">
      <c r="A32" s="2">
        <v>1031</v>
      </c>
      <c r="B32" s="3">
        <v>45675</v>
      </c>
      <c r="C32" s="2" t="s">
        <v>28</v>
      </c>
      <c r="D32" s="2" t="s">
        <v>12</v>
      </c>
      <c r="E32" s="2" t="s">
        <v>13</v>
      </c>
      <c r="F32" s="2" t="s">
        <v>14</v>
      </c>
      <c r="G32" s="2">
        <v>7</v>
      </c>
      <c r="H32" s="2">
        <v>351</v>
      </c>
      <c r="I32" s="2">
        <v>2457</v>
      </c>
      <c r="J32" s="2">
        <v>2004</v>
      </c>
      <c r="K32" s="2" t="s">
        <v>20</v>
      </c>
      <c r="L32" s="19">
        <f>SalesData!I32/SalesData!J32</f>
        <v>1.2260479041916168</v>
      </c>
    </row>
    <row r="33" spans="1:12" x14ac:dyDescent="0.25">
      <c r="A33" s="2">
        <v>1032</v>
      </c>
      <c r="B33" s="3">
        <v>45891</v>
      </c>
      <c r="C33" s="2" t="s">
        <v>28</v>
      </c>
      <c r="D33" s="2" t="s">
        <v>23</v>
      </c>
      <c r="E33" s="2" t="s">
        <v>24</v>
      </c>
      <c r="F33" s="2" t="s">
        <v>14</v>
      </c>
      <c r="G33" s="2">
        <v>6</v>
      </c>
      <c r="H33" s="2">
        <v>475</v>
      </c>
      <c r="I33" s="2">
        <v>2850</v>
      </c>
      <c r="J33" s="2">
        <v>2432</v>
      </c>
      <c r="K33" s="2" t="s">
        <v>15</v>
      </c>
      <c r="L33" s="19">
        <f>SalesData!I33/SalesData!J33</f>
        <v>1.171875</v>
      </c>
    </row>
    <row r="34" spans="1:12" x14ac:dyDescent="0.25">
      <c r="A34" s="2">
        <v>1033</v>
      </c>
      <c r="B34" s="3">
        <v>45951</v>
      </c>
      <c r="C34" s="2" t="s">
        <v>28</v>
      </c>
      <c r="D34" s="2" t="s">
        <v>12</v>
      </c>
      <c r="E34" s="2" t="s">
        <v>34</v>
      </c>
      <c r="F34" s="2" t="s">
        <v>31</v>
      </c>
      <c r="G34" s="2">
        <v>7</v>
      </c>
      <c r="H34" s="2">
        <v>422</v>
      </c>
      <c r="I34" s="2">
        <v>2954</v>
      </c>
      <c r="J34" s="2">
        <v>2466</v>
      </c>
      <c r="K34" s="2" t="s">
        <v>15</v>
      </c>
      <c r="L34" s="19">
        <f>SalesData!I34/SalesData!J34</f>
        <v>1.1978913219789131</v>
      </c>
    </row>
    <row r="35" spans="1:12" x14ac:dyDescent="0.25">
      <c r="A35" s="2">
        <v>1034</v>
      </c>
      <c r="B35" s="3">
        <v>45996</v>
      </c>
      <c r="C35" s="2" t="s">
        <v>25</v>
      </c>
      <c r="D35" s="2" t="s">
        <v>12</v>
      </c>
      <c r="E35" s="2" t="s">
        <v>33</v>
      </c>
      <c r="F35" s="2" t="s">
        <v>29</v>
      </c>
      <c r="G35" s="2">
        <v>5</v>
      </c>
      <c r="H35" s="2">
        <v>367</v>
      </c>
      <c r="I35" s="2">
        <v>1835</v>
      </c>
      <c r="J35" s="2">
        <v>1615</v>
      </c>
      <c r="K35" s="2" t="s">
        <v>15</v>
      </c>
      <c r="L35" s="19">
        <f>SalesData!I35/SalesData!J35</f>
        <v>1.1362229102167183</v>
      </c>
    </row>
    <row r="36" spans="1:12" x14ac:dyDescent="0.25">
      <c r="A36" s="2">
        <v>1035</v>
      </c>
      <c r="B36" s="3">
        <v>46006</v>
      </c>
      <c r="C36" s="2" t="s">
        <v>25</v>
      </c>
      <c r="D36" s="2" t="s">
        <v>17</v>
      </c>
      <c r="E36" s="2" t="s">
        <v>27</v>
      </c>
      <c r="F36" s="2" t="s">
        <v>19</v>
      </c>
      <c r="G36" s="2">
        <v>5</v>
      </c>
      <c r="H36" s="2">
        <v>357</v>
      </c>
      <c r="I36" s="2">
        <v>1785</v>
      </c>
      <c r="J36" s="2">
        <v>1919</v>
      </c>
      <c r="K36" s="2" t="s">
        <v>20</v>
      </c>
      <c r="L36" s="19">
        <f>SalesData!I36/SalesData!J36</f>
        <v>0.9301719645648775</v>
      </c>
    </row>
    <row r="37" spans="1:12" x14ac:dyDescent="0.25">
      <c r="A37" s="2">
        <v>1036</v>
      </c>
      <c r="B37" s="3">
        <v>45904</v>
      </c>
      <c r="C37" s="2" t="s">
        <v>28</v>
      </c>
      <c r="D37" s="2" t="s">
        <v>12</v>
      </c>
      <c r="E37" s="2" t="s">
        <v>34</v>
      </c>
      <c r="F37" s="2" t="s">
        <v>22</v>
      </c>
      <c r="G37" s="2">
        <v>6</v>
      </c>
      <c r="H37" s="2">
        <v>118</v>
      </c>
      <c r="I37" s="2">
        <v>708</v>
      </c>
      <c r="J37" s="2">
        <v>804</v>
      </c>
      <c r="K37" s="2" t="s">
        <v>20</v>
      </c>
      <c r="L37" s="19">
        <f>SalesData!I37/SalesData!J37</f>
        <v>0.88059701492537312</v>
      </c>
    </row>
    <row r="38" spans="1:12" x14ac:dyDescent="0.25">
      <c r="A38" s="2">
        <v>1037</v>
      </c>
      <c r="B38" s="3">
        <v>45867</v>
      </c>
      <c r="C38" s="2" t="s">
        <v>16</v>
      </c>
      <c r="D38" s="2" t="s">
        <v>23</v>
      </c>
      <c r="E38" s="2" t="s">
        <v>35</v>
      </c>
      <c r="F38" s="2" t="s">
        <v>22</v>
      </c>
      <c r="G38" s="2">
        <v>2</v>
      </c>
      <c r="H38" s="2">
        <v>13</v>
      </c>
      <c r="I38" s="2">
        <v>26</v>
      </c>
      <c r="J38" s="2">
        <v>32</v>
      </c>
      <c r="K38" s="2" t="s">
        <v>15</v>
      </c>
      <c r="L38" s="19">
        <f>SalesData!I38/SalesData!J38</f>
        <v>0.8125</v>
      </c>
    </row>
    <row r="39" spans="1:12" x14ac:dyDescent="0.25">
      <c r="A39" s="2">
        <v>1038</v>
      </c>
      <c r="B39" s="3">
        <v>45685</v>
      </c>
      <c r="C39" s="2" t="s">
        <v>16</v>
      </c>
      <c r="D39" s="2" t="s">
        <v>17</v>
      </c>
      <c r="E39" s="2" t="s">
        <v>27</v>
      </c>
      <c r="F39" s="2" t="s">
        <v>29</v>
      </c>
      <c r="G39" s="2">
        <v>4</v>
      </c>
      <c r="H39" s="2">
        <v>403</v>
      </c>
      <c r="I39" s="2">
        <v>1612</v>
      </c>
      <c r="J39" s="2">
        <v>1598</v>
      </c>
      <c r="K39" s="2" t="s">
        <v>20</v>
      </c>
      <c r="L39" s="19">
        <f>SalesData!I39/SalesData!J39</f>
        <v>1.0087609511889863</v>
      </c>
    </row>
    <row r="40" spans="1:12" x14ac:dyDescent="0.25">
      <c r="A40" s="2">
        <v>1039</v>
      </c>
      <c r="B40" s="3">
        <v>45886</v>
      </c>
      <c r="C40" s="2" t="s">
        <v>28</v>
      </c>
      <c r="D40" s="2" t="s">
        <v>17</v>
      </c>
      <c r="E40" s="2" t="s">
        <v>30</v>
      </c>
      <c r="F40" s="2" t="s">
        <v>22</v>
      </c>
      <c r="G40" s="2">
        <v>6</v>
      </c>
      <c r="H40" s="2">
        <v>454</v>
      </c>
      <c r="I40" s="2">
        <v>2724</v>
      </c>
      <c r="J40" s="2">
        <v>3441</v>
      </c>
      <c r="K40" s="2" t="s">
        <v>15</v>
      </c>
      <c r="L40" s="19">
        <f>SalesData!I40/SalesData!J40</f>
        <v>0.79163034001743682</v>
      </c>
    </row>
    <row r="41" spans="1:12" x14ac:dyDescent="0.25">
      <c r="A41" s="2">
        <v>1040</v>
      </c>
      <c r="B41" s="3">
        <v>45758</v>
      </c>
      <c r="C41" s="2" t="s">
        <v>11</v>
      </c>
      <c r="D41" s="2" t="s">
        <v>23</v>
      </c>
      <c r="E41" s="2" t="s">
        <v>35</v>
      </c>
      <c r="F41" s="2" t="s">
        <v>19</v>
      </c>
      <c r="G41" s="2">
        <v>5</v>
      </c>
      <c r="H41" s="2">
        <v>316</v>
      </c>
      <c r="I41" s="2">
        <v>1580</v>
      </c>
      <c r="J41" s="2">
        <v>1532</v>
      </c>
      <c r="K41" s="2" t="s">
        <v>20</v>
      </c>
      <c r="L41" s="19">
        <f>SalesData!I41/SalesData!J41</f>
        <v>1.031331592689295</v>
      </c>
    </row>
    <row r="42" spans="1:12" x14ac:dyDescent="0.25">
      <c r="A42" s="2">
        <v>1041</v>
      </c>
      <c r="B42" s="3">
        <v>45833</v>
      </c>
      <c r="C42" s="2" t="s">
        <v>25</v>
      </c>
      <c r="D42" s="2" t="s">
        <v>23</v>
      </c>
      <c r="E42" s="2" t="s">
        <v>35</v>
      </c>
      <c r="F42" s="2" t="s">
        <v>32</v>
      </c>
      <c r="G42" s="2">
        <v>6</v>
      </c>
      <c r="H42" s="2">
        <v>406</v>
      </c>
      <c r="I42" s="2">
        <v>2436</v>
      </c>
      <c r="J42" s="2">
        <v>2889</v>
      </c>
      <c r="K42" s="2" t="s">
        <v>20</v>
      </c>
      <c r="L42" s="19">
        <f>SalesData!I42/SalesData!J42</f>
        <v>0.84319833852544135</v>
      </c>
    </row>
    <row r="43" spans="1:12" x14ac:dyDescent="0.25">
      <c r="A43" s="2">
        <v>1042</v>
      </c>
      <c r="B43" s="3">
        <v>45812</v>
      </c>
      <c r="C43" s="2" t="s">
        <v>25</v>
      </c>
      <c r="D43" s="2" t="s">
        <v>23</v>
      </c>
      <c r="E43" s="2" t="s">
        <v>35</v>
      </c>
      <c r="F43" s="2" t="s">
        <v>32</v>
      </c>
      <c r="G43" s="2">
        <v>7</v>
      </c>
      <c r="H43" s="2">
        <v>376</v>
      </c>
      <c r="I43" s="2">
        <v>2632</v>
      </c>
      <c r="J43" s="2">
        <v>2363</v>
      </c>
      <c r="K43" s="2" t="s">
        <v>15</v>
      </c>
      <c r="L43" s="19">
        <f>SalesData!I43/SalesData!J43</f>
        <v>1.1138383410918324</v>
      </c>
    </row>
    <row r="44" spans="1:12" x14ac:dyDescent="0.25">
      <c r="A44" s="2">
        <v>1043</v>
      </c>
      <c r="B44" s="3">
        <v>45884</v>
      </c>
      <c r="C44" s="2" t="s">
        <v>16</v>
      </c>
      <c r="D44" s="2" t="s">
        <v>23</v>
      </c>
      <c r="E44" s="2" t="s">
        <v>35</v>
      </c>
      <c r="F44" s="2" t="s">
        <v>32</v>
      </c>
      <c r="G44" s="2">
        <v>7</v>
      </c>
      <c r="H44" s="2">
        <v>431</v>
      </c>
      <c r="I44" s="2">
        <v>3017</v>
      </c>
      <c r="J44" s="2">
        <v>3911</v>
      </c>
      <c r="K44" s="2" t="s">
        <v>15</v>
      </c>
      <c r="L44" s="19">
        <f>SalesData!I44/SalesData!J44</f>
        <v>0.77141396062388135</v>
      </c>
    </row>
    <row r="45" spans="1:12" x14ac:dyDescent="0.25">
      <c r="A45" s="2">
        <v>1044</v>
      </c>
      <c r="B45" s="3">
        <v>46014</v>
      </c>
      <c r="C45" s="2" t="s">
        <v>11</v>
      </c>
      <c r="D45" s="2" t="s">
        <v>23</v>
      </c>
      <c r="E45" s="2" t="s">
        <v>24</v>
      </c>
      <c r="F45" s="2" t="s">
        <v>19</v>
      </c>
      <c r="G45" s="2">
        <v>9</v>
      </c>
      <c r="H45" s="2">
        <v>44</v>
      </c>
      <c r="I45" s="2">
        <v>396</v>
      </c>
      <c r="J45" s="2">
        <v>508</v>
      </c>
      <c r="K45" s="2" t="s">
        <v>15</v>
      </c>
      <c r="L45" s="19">
        <f>SalesData!I45/SalesData!J45</f>
        <v>0.77952755905511806</v>
      </c>
    </row>
    <row r="46" spans="1:12" x14ac:dyDescent="0.25">
      <c r="A46" s="2">
        <v>1045</v>
      </c>
      <c r="B46" s="3">
        <v>45692</v>
      </c>
      <c r="C46" s="2" t="s">
        <v>28</v>
      </c>
      <c r="D46" s="2" t="s">
        <v>17</v>
      </c>
      <c r="E46" s="2" t="s">
        <v>30</v>
      </c>
      <c r="F46" s="2" t="s">
        <v>29</v>
      </c>
      <c r="G46" s="2">
        <v>8</v>
      </c>
      <c r="H46" s="2">
        <v>145</v>
      </c>
      <c r="I46" s="2">
        <v>1160</v>
      </c>
      <c r="J46" s="2">
        <v>1293</v>
      </c>
      <c r="K46" s="2" t="s">
        <v>15</v>
      </c>
      <c r="L46" s="19">
        <f>SalesData!I46/SalesData!J46</f>
        <v>0.897138437741686</v>
      </c>
    </row>
    <row r="47" spans="1:12" x14ac:dyDescent="0.25">
      <c r="A47" s="2">
        <v>1046</v>
      </c>
      <c r="B47" s="3">
        <v>45918</v>
      </c>
      <c r="C47" s="2" t="s">
        <v>28</v>
      </c>
      <c r="D47" s="2" t="s">
        <v>12</v>
      </c>
      <c r="E47" s="2" t="s">
        <v>34</v>
      </c>
      <c r="F47" s="2" t="s">
        <v>19</v>
      </c>
      <c r="G47" s="2">
        <v>7</v>
      </c>
      <c r="H47" s="2">
        <v>94</v>
      </c>
      <c r="I47" s="2">
        <v>658</v>
      </c>
      <c r="J47" s="2">
        <v>694</v>
      </c>
      <c r="K47" s="2" t="s">
        <v>20</v>
      </c>
      <c r="L47" s="19">
        <f>SalesData!I47/SalesData!J47</f>
        <v>0.94812680115273773</v>
      </c>
    </row>
    <row r="48" spans="1:12" x14ac:dyDescent="0.25">
      <c r="A48" s="2">
        <v>1047</v>
      </c>
      <c r="B48" s="3">
        <v>45721</v>
      </c>
      <c r="C48" s="2" t="s">
        <v>28</v>
      </c>
      <c r="D48" s="2" t="s">
        <v>23</v>
      </c>
      <c r="E48" s="2" t="s">
        <v>35</v>
      </c>
      <c r="F48" s="2" t="s">
        <v>32</v>
      </c>
      <c r="G48" s="2">
        <v>6</v>
      </c>
      <c r="H48" s="2">
        <v>431</v>
      </c>
      <c r="I48" s="2">
        <v>2586</v>
      </c>
      <c r="J48" s="2">
        <v>2132</v>
      </c>
      <c r="K48" s="2" t="s">
        <v>20</v>
      </c>
      <c r="L48" s="19">
        <f>SalesData!I48/SalesData!J48</f>
        <v>1.2129455909943714</v>
      </c>
    </row>
    <row r="49" spans="1:12" x14ac:dyDescent="0.25">
      <c r="A49" s="2">
        <v>1048</v>
      </c>
      <c r="B49" s="3">
        <v>45874</v>
      </c>
      <c r="C49" s="2" t="s">
        <v>11</v>
      </c>
      <c r="D49" s="2" t="s">
        <v>17</v>
      </c>
      <c r="E49" s="2" t="s">
        <v>27</v>
      </c>
      <c r="F49" s="2" t="s">
        <v>32</v>
      </c>
      <c r="G49" s="2">
        <v>6</v>
      </c>
      <c r="H49" s="2">
        <v>170</v>
      </c>
      <c r="I49" s="2">
        <v>1020</v>
      </c>
      <c r="J49" s="2">
        <v>1273</v>
      </c>
      <c r="K49" s="2" t="s">
        <v>15</v>
      </c>
      <c r="L49" s="19">
        <f>SalesData!I49/SalesData!J49</f>
        <v>0.80125687352710129</v>
      </c>
    </row>
    <row r="50" spans="1:12" x14ac:dyDescent="0.25">
      <c r="A50" s="2">
        <v>1049</v>
      </c>
      <c r="B50" s="3">
        <v>45886</v>
      </c>
      <c r="C50" s="2" t="s">
        <v>28</v>
      </c>
      <c r="D50" s="2" t="s">
        <v>17</v>
      </c>
      <c r="E50" s="2" t="s">
        <v>30</v>
      </c>
      <c r="F50" s="2" t="s">
        <v>29</v>
      </c>
      <c r="G50" s="2">
        <v>6</v>
      </c>
      <c r="H50" s="2">
        <v>232</v>
      </c>
      <c r="I50" s="2">
        <v>1392</v>
      </c>
      <c r="J50" s="2">
        <v>1646</v>
      </c>
      <c r="K50" s="2" t="s">
        <v>20</v>
      </c>
      <c r="L50" s="19">
        <f>SalesData!I50/SalesData!J50</f>
        <v>0.84568651275820172</v>
      </c>
    </row>
    <row r="51" spans="1:12" x14ac:dyDescent="0.25">
      <c r="A51" s="2">
        <v>1050</v>
      </c>
      <c r="B51" s="3">
        <v>46006</v>
      </c>
      <c r="C51" s="2" t="s">
        <v>28</v>
      </c>
      <c r="D51" s="2" t="s">
        <v>12</v>
      </c>
      <c r="E51" s="2" t="s">
        <v>13</v>
      </c>
      <c r="F51" s="2" t="s">
        <v>31</v>
      </c>
      <c r="G51" s="2">
        <v>9</v>
      </c>
      <c r="H51" s="2">
        <v>141</v>
      </c>
      <c r="I51" s="2">
        <v>1269</v>
      </c>
      <c r="J51" s="2">
        <v>1077</v>
      </c>
      <c r="K51" s="2" t="s">
        <v>15</v>
      </c>
      <c r="L51" s="19">
        <f>SalesData!I51/SalesData!J51</f>
        <v>1.1782729805013927</v>
      </c>
    </row>
    <row r="52" spans="1:12" x14ac:dyDescent="0.25">
      <c r="A52" s="2">
        <v>1051</v>
      </c>
      <c r="B52" s="3">
        <v>45826</v>
      </c>
      <c r="C52" s="2" t="s">
        <v>28</v>
      </c>
      <c r="D52" s="2" t="s">
        <v>23</v>
      </c>
      <c r="E52" s="2" t="s">
        <v>26</v>
      </c>
      <c r="F52" s="2" t="s">
        <v>32</v>
      </c>
      <c r="G52" s="2">
        <v>7</v>
      </c>
      <c r="H52" s="2">
        <v>435</v>
      </c>
      <c r="I52" s="2">
        <v>3045</v>
      </c>
      <c r="J52" s="2">
        <v>3910</v>
      </c>
      <c r="K52" s="2" t="s">
        <v>15</v>
      </c>
      <c r="L52" s="19">
        <f>SalesData!I52/SalesData!J52</f>
        <v>0.77877237851662406</v>
      </c>
    </row>
    <row r="53" spans="1:12" x14ac:dyDescent="0.25">
      <c r="A53" s="2">
        <v>1052</v>
      </c>
      <c r="B53" s="3">
        <v>45790</v>
      </c>
      <c r="C53" s="2" t="s">
        <v>28</v>
      </c>
      <c r="D53" s="2" t="s">
        <v>17</v>
      </c>
      <c r="E53" s="2" t="s">
        <v>30</v>
      </c>
      <c r="F53" s="2" t="s">
        <v>29</v>
      </c>
      <c r="G53" s="2">
        <v>9</v>
      </c>
      <c r="H53" s="2">
        <v>418</v>
      </c>
      <c r="I53" s="2">
        <v>3762</v>
      </c>
      <c r="J53" s="2">
        <v>3830</v>
      </c>
      <c r="K53" s="2" t="s">
        <v>15</v>
      </c>
      <c r="L53" s="19">
        <f>SalesData!I53/SalesData!J53</f>
        <v>0.98224543080939952</v>
      </c>
    </row>
    <row r="54" spans="1:12" x14ac:dyDescent="0.25">
      <c r="A54" s="2">
        <v>1053</v>
      </c>
      <c r="B54" s="3">
        <v>46005</v>
      </c>
      <c r="C54" s="2" t="s">
        <v>25</v>
      </c>
      <c r="D54" s="2" t="s">
        <v>23</v>
      </c>
      <c r="E54" s="2" t="s">
        <v>24</v>
      </c>
      <c r="F54" s="2" t="s">
        <v>19</v>
      </c>
      <c r="G54" s="2">
        <v>8</v>
      </c>
      <c r="H54" s="2">
        <v>47</v>
      </c>
      <c r="I54" s="2">
        <v>376</v>
      </c>
      <c r="J54" s="2">
        <v>460</v>
      </c>
      <c r="K54" s="2" t="s">
        <v>15</v>
      </c>
      <c r="L54" s="19">
        <f>SalesData!I54/SalesData!J54</f>
        <v>0.81739130434782614</v>
      </c>
    </row>
    <row r="55" spans="1:12" x14ac:dyDescent="0.25">
      <c r="A55" s="2">
        <v>1054</v>
      </c>
      <c r="B55" s="3">
        <v>45709</v>
      </c>
      <c r="C55" s="2" t="s">
        <v>16</v>
      </c>
      <c r="D55" s="2" t="s">
        <v>12</v>
      </c>
      <c r="E55" s="2" t="s">
        <v>33</v>
      </c>
      <c r="F55" s="2" t="s">
        <v>14</v>
      </c>
      <c r="G55" s="2">
        <v>8</v>
      </c>
      <c r="H55" s="2">
        <v>387</v>
      </c>
      <c r="I55" s="2">
        <v>3096</v>
      </c>
      <c r="J55" s="2">
        <v>2482</v>
      </c>
      <c r="K55" s="2" t="s">
        <v>20</v>
      </c>
      <c r="L55" s="19">
        <f>SalesData!I55/SalesData!J55</f>
        <v>1.2473811442385174</v>
      </c>
    </row>
    <row r="56" spans="1:12" x14ac:dyDescent="0.25">
      <c r="A56" s="2">
        <v>1055</v>
      </c>
      <c r="B56" s="3">
        <v>45929</v>
      </c>
      <c r="C56" s="2" t="s">
        <v>11</v>
      </c>
      <c r="D56" s="2" t="s">
        <v>23</v>
      </c>
      <c r="E56" s="2" t="s">
        <v>26</v>
      </c>
      <c r="F56" s="2" t="s">
        <v>22</v>
      </c>
      <c r="G56" s="2">
        <v>8</v>
      </c>
      <c r="H56" s="2">
        <v>411</v>
      </c>
      <c r="I56" s="2">
        <v>3288</v>
      </c>
      <c r="J56" s="2">
        <v>4055</v>
      </c>
      <c r="K56" s="2" t="s">
        <v>20</v>
      </c>
      <c r="L56" s="19">
        <f>SalesData!I56/SalesData!J56</f>
        <v>0.81085080147965471</v>
      </c>
    </row>
    <row r="57" spans="1:12" x14ac:dyDescent="0.25">
      <c r="A57" s="2">
        <v>1056</v>
      </c>
      <c r="B57" s="3">
        <v>45684</v>
      </c>
      <c r="C57" s="2" t="s">
        <v>28</v>
      </c>
      <c r="D57" s="2" t="s">
        <v>17</v>
      </c>
      <c r="E57" s="2" t="s">
        <v>30</v>
      </c>
      <c r="F57" s="2" t="s">
        <v>19</v>
      </c>
      <c r="G57" s="2">
        <v>10</v>
      </c>
      <c r="H57" s="2">
        <v>11</v>
      </c>
      <c r="I57" s="2">
        <v>110</v>
      </c>
      <c r="J57" s="2">
        <v>99</v>
      </c>
      <c r="K57" s="2" t="s">
        <v>20</v>
      </c>
      <c r="L57" s="19">
        <f>SalesData!I57/SalesData!J57</f>
        <v>1.1111111111111112</v>
      </c>
    </row>
    <row r="58" spans="1:12" x14ac:dyDescent="0.25">
      <c r="A58" s="2">
        <v>1057</v>
      </c>
      <c r="B58" s="3">
        <v>45662</v>
      </c>
      <c r="C58" s="2" t="s">
        <v>28</v>
      </c>
      <c r="D58" s="2" t="s">
        <v>12</v>
      </c>
      <c r="E58" s="2" t="s">
        <v>34</v>
      </c>
      <c r="F58" s="2" t="s">
        <v>19</v>
      </c>
      <c r="G58" s="2">
        <v>5</v>
      </c>
      <c r="H58" s="2">
        <v>121</v>
      </c>
      <c r="I58" s="2">
        <v>605</v>
      </c>
      <c r="J58" s="2">
        <v>575</v>
      </c>
      <c r="K58" s="2" t="s">
        <v>15</v>
      </c>
      <c r="L58" s="19">
        <f>SalesData!I58/SalesData!J58</f>
        <v>1.0521739130434782</v>
      </c>
    </row>
    <row r="59" spans="1:12" x14ac:dyDescent="0.25">
      <c r="A59" s="2">
        <v>1058</v>
      </c>
      <c r="B59" s="3">
        <v>45753</v>
      </c>
      <c r="C59" s="2" t="s">
        <v>28</v>
      </c>
      <c r="D59" s="2" t="s">
        <v>23</v>
      </c>
      <c r="E59" s="2" t="s">
        <v>35</v>
      </c>
      <c r="F59" s="2" t="s">
        <v>14</v>
      </c>
      <c r="G59" s="2">
        <v>1</v>
      </c>
      <c r="H59" s="2">
        <v>386</v>
      </c>
      <c r="I59" s="2">
        <v>386</v>
      </c>
      <c r="J59" s="2">
        <v>387</v>
      </c>
      <c r="K59" s="2" t="s">
        <v>20</v>
      </c>
      <c r="L59" s="19">
        <f>SalesData!I59/SalesData!J59</f>
        <v>0.99741602067183466</v>
      </c>
    </row>
    <row r="60" spans="1:12" x14ac:dyDescent="0.25">
      <c r="A60" s="2">
        <v>1059</v>
      </c>
      <c r="B60" s="3">
        <v>45785</v>
      </c>
      <c r="C60" s="2" t="s">
        <v>28</v>
      </c>
      <c r="D60" s="2" t="s">
        <v>23</v>
      </c>
      <c r="E60" s="2" t="s">
        <v>24</v>
      </c>
      <c r="F60" s="2" t="s">
        <v>22</v>
      </c>
      <c r="G60" s="2">
        <v>9</v>
      </c>
      <c r="H60" s="2">
        <v>488</v>
      </c>
      <c r="I60" s="2">
        <v>4392</v>
      </c>
      <c r="J60" s="2">
        <v>4595</v>
      </c>
      <c r="K60" s="2" t="s">
        <v>20</v>
      </c>
      <c r="L60" s="19">
        <f>SalesData!I60/SalesData!J60</f>
        <v>0.95582154515778017</v>
      </c>
    </row>
    <row r="61" spans="1:12" x14ac:dyDescent="0.25">
      <c r="A61" s="2">
        <v>1060</v>
      </c>
      <c r="B61" s="3">
        <v>45789</v>
      </c>
      <c r="C61" s="2" t="s">
        <v>11</v>
      </c>
      <c r="D61" s="2" t="s">
        <v>12</v>
      </c>
      <c r="E61" s="2" t="s">
        <v>34</v>
      </c>
      <c r="F61" s="2" t="s">
        <v>22</v>
      </c>
      <c r="G61" s="2">
        <v>5</v>
      </c>
      <c r="H61" s="2">
        <v>406</v>
      </c>
      <c r="I61" s="2">
        <v>2030</v>
      </c>
      <c r="J61" s="2">
        <v>1784</v>
      </c>
      <c r="K61" s="2" t="s">
        <v>20</v>
      </c>
      <c r="L61" s="19">
        <f>SalesData!I61/SalesData!J61</f>
        <v>1.1378923766816142</v>
      </c>
    </row>
    <row r="62" spans="1:12" x14ac:dyDescent="0.25">
      <c r="A62" s="2">
        <v>1061</v>
      </c>
      <c r="B62" s="3">
        <v>45959</v>
      </c>
      <c r="C62" s="2" t="s">
        <v>16</v>
      </c>
      <c r="D62" s="2" t="s">
        <v>17</v>
      </c>
      <c r="E62" s="2" t="s">
        <v>27</v>
      </c>
      <c r="F62" s="2" t="s">
        <v>32</v>
      </c>
      <c r="G62" s="2">
        <v>9</v>
      </c>
      <c r="H62" s="2">
        <v>142</v>
      </c>
      <c r="I62" s="2">
        <v>1278</v>
      </c>
      <c r="J62" s="2">
        <v>1210</v>
      </c>
      <c r="K62" s="2" t="s">
        <v>20</v>
      </c>
      <c r="L62" s="19">
        <f>SalesData!I62/SalesData!J62</f>
        <v>1.0561983471074381</v>
      </c>
    </row>
    <row r="63" spans="1:12" x14ac:dyDescent="0.25">
      <c r="A63" s="2">
        <v>1062</v>
      </c>
      <c r="B63" s="3">
        <v>45979</v>
      </c>
      <c r="C63" s="2" t="s">
        <v>16</v>
      </c>
      <c r="D63" s="2" t="s">
        <v>23</v>
      </c>
      <c r="E63" s="2" t="s">
        <v>35</v>
      </c>
      <c r="F63" s="2" t="s">
        <v>32</v>
      </c>
      <c r="G63" s="2">
        <v>4</v>
      </c>
      <c r="H63" s="2">
        <v>361</v>
      </c>
      <c r="I63" s="2">
        <v>1444</v>
      </c>
      <c r="J63" s="2">
        <v>1464</v>
      </c>
      <c r="K63" s="2" t="s">
        <v>20</v>
      </c>
      <c r="L63" s="19">
        <f>SalesData!I63/SalesData!J63</f>
        <v>0.98633879781420764</v>
      </c>
    </row>
    <row r="64" spans="1:12" x14ac:dyDescent="0.25">
      <c r="A64" s="2">
        <v>1063</v>
      </c>
      <c r="B64" s="3">
        <v>45785</v>
      </c>
      <c r="C64" s="2" t="s">
        <v>25</v>
      </c>
      <c r="D64" s="2" t="s">
        <v>12</v>
      </c>
      <c r="E64" s="2" t="s">
        <v>13</v>
      </c>
      <c r="F64" s="2" t="s">
        <v>31</v>
      </c>
      <c r="G64" s="2">
        <v>2</v>
      </c>
      <c r="H64" s="2">
        <v>327</v>
      </c>
      <c r="I64" s="2">
        <v>654</v>
      </c>
      <c r="J64" s="2">
        <v>780</v>
      </c>
      <c r="K64" s="2" t="s">
        <v>20</v>
      </c>
      <c r="L64" s="19">
        <f>SalesData!I64/SalesData!J64</f>
        <v>0.83846153846153848</v>
      </c>
    </row>
    <row r="65" spans="1:12" x14ac:dyDescent="0.25">
      <c r="A65" s="2">
        <v>1064</v>
      </c>
      <c r="B65" s="3">
        <v>45899</v>
      </c>
      <c r="C65" s="2" t="s">
        <v>28</v>
      </c>
      <c r="D65" s="2" t="s">
        <v>12</v>
      </c>
      <c r="E65" s="2" t="s">
        <v>13</v>
      </c>
      <c r="F65" s="2" t="s">
        <v>14</v>
      </c>
      <c r="G65" s="2">
        <v>2</v>
      </c>
      <c r="H65" s="2">
        <v>22</v>
      </c>
      <c r="I65" s="2">
        <v>44</v>
      </c>
      <c r="J65" s="2">
        <v>43</v>
      </c>
      <c r="K65" s="2" t="s">
        <v>15</v>
      </c>
      <c r="L65" s="19">
        <f>SalesData!I65/SalesData!J65</f>
        <v>1.0232558139534884</v>
      </c>
    </row>
    <row r="66" spans="1:12" x14ac:dyDescent="0.25">
      <c r="A66" s="2">
        <v>1065</v>
      </c>
      <c r="B66" s="3">
        <v>45886</v>
      </c>
      <c r="C66" s="2" t="s">
        <v>28</v>
      </c>
      <c r="D66" s="2" t="s">
        <v>17</v>
      </c>
      <c r="E66" s="2" t="s">
        <v>27</v>
      </c>
      <c r="F66" s="2" t="s">
        <v>22</v>
      </c>
      <c r="G66" s="2">
        <v>3</v>
      </c>
      <c r="H66" s="2">
        <v>448</v>
      </c>
      <c r="I66" s="2">
        <v>1344</v>
      </c>
      <c r="J66" s="2">
        <v>1555</v>
      </c>
      <c r="K66" s="2" t="s">
        <v>15</v>
      </c>
      <c r="L66" s="19">
        <f>SalesData!I66/SalesData!J66</f>
        <v>0.86430868167202568</v>
      </c>
    </row>
    <row r="67" spans="1:12" x14ac:dyDescent="0.25">
      <c r="A67" s="2">
        <v>1066</v>
      </c>
      <c r="B67" s="3">
        <v>45916</v>
      </c>
      <c r="C67" s="2" t="s">
        <v>11</v>
      </c>
      <c r="D67" s="2" t="s">
        <v>12</v>
      </c>
      <c r="E67" s="2" t="s">
        <v>21</v>
      </c>
      <c r="F67" s="2" t="s">
        <v>31</v>
      </c>
      <c r="G67" s="2">
        <v>3</v>
      </c>
      <c r="H67" s="2">
        <v>387</v>
      </c>
      <c r="I67" s="2">
        <v>1161</v>
      </c>
      <c r="J67" s="2">
        <v>1211</v>
      </c>
      <c r="K67" s="2" t="s">
        <v>20</v>
      </c>
      <c r="L67" s="19">
        <f>SalesData!I67/SalesData!J67</f>
        <v>0.95871180842279113</v>
      </c>
    </row>
    <row r="68" spans="1:12" x14ac:dyDescent="0.25">
      <c r="A68" s="2">
        <v>1067</v>
      </c>
      <c r="B68" s="3">
        <v>45869</v>
      </c>
      <c r="C68" s="2" t="s">
        <v>28</v>
      </c>
      <c r="D68" s="2" t="s">
        <v>23</v>
      </c>
      <c r="E68" s="2" t="s">
        <v>24</v>
      </c>
      <c r="F68" s="2" t="s">
        <v>32</v>
      </c>
      <c r="G68" s="2">
        <v>4</v>
      </c>
      <c r="H68" s="2">
        <v>147</v>
      </c>
      <c r="I68" s="2">
        <v>588</v>
      </c>
      <c r="J68" s="2">
        <v>733</v>
      </c>
      <c r="K68" s="2" t="s">
        <v>15</v>
      </c>
      <c r="L68" s="19">
        <f>SalesData!I68/SalesData!J68</f>
        <v>0.80218281036834926</v>
      </c>
    </row>
    <row r="69" spans="1:12" x14ac:dyDescent="0.25">
      <c r="A69" s="2">
        <v>1068</v>
      </c>
      <c r="B69" s="3">
        <v>45904</v>
      </c>
      <c r="C69" s="2" t="s">
        <v>11</v>
      </c>
      <c r="D69" s="2" t="s">
        <v>23</v>
      </c>
      <c r="E69" s="2" t="s">
        <v>35</v>
      </c>
      <c r="F69" s="2" t="s">
        <v>31</v>
      </c>
      <c r="G69" s="2">
        <v>8</v>
      </c>
      <c r="H69" s="2">
        <v>235</v>
      </c>
      <c r="I69" s="2">
        <v>1880</v>
      </c>
      <c r="J69" s="2">
        <v>1755</v>
      </c>
      <c r="K69" s="2" t="s">
        <v>15</v>
      </c>
      <c r="L69" s="19">
        <f>SalesData!I69/SalesData!J69</f>
        <v>1.0712250712250713</v>
      </c>
    </row>
    <row r="70" spans="1:12" x14ac:dyDescent="0.25">
      <c r="A70" s="2">
        <v>1069</v>
      </c>
      <c r="B70" s="3">
        <v>45827</v>
      </c>
      <c r="C70" s="2" t="s">
        <v>11</v>
      </c>
      <c r="D70" s="2" t="s">
        <v>12</v>
      </c>
      <c r="E70" s="2" t="s">
        <v>33</v>
      </c>
      <c r="F70" s="2" t="s">
        <v>22</v>
      </c>
      <c r="G70" s="2">
        <v>8</v>
      </c>
      <c r="H70" s="2">
        <v>407</v>
      </c>
      <c r="I70" s="2">
        <v>3256</v>
      </c>
      <c r="J70" s="2">
        <v>2617</v>
      </c>
      <c r="K70" s="2" t="s">
        <v>15</v>
      </c>
      <c r="L70" s="19">
        <f>SalesData!I70/SalesData!J70</f>
        <v>1.2441727168513566</v>
      </c>
    </row>
    <row r="71" spans="1:12" x14ac:dyDescent="0.25">
      <c r="A71" s="2">
        <v>1070</v>
      </c>
      <c r="B71" s="3">
        <v>45785</v>
      </c>
      <c r="C71" s="2" t="s">
        <v>28</v>
      </c>
      <c r="D71" s="2" t="s">
        <v>23</v>
      </c>
      <c r="E71" s="2" t="s">
        <v>35</v>
      </c>
      <c r="F71" s="2" t="s">
        <v>32</v>
      </c>
      <c r="G71" s="2">
        <v>8</v>
      </c>
      <c r="H71" s="2">
        <v>367</v>
      </c>
      <c r="I71" s="2">
        <v>2936</v>
      </c>
      <c r="J71" s="2">
        <v>3135</v>
      </c>
      <c r="K71" s="2" t="s">
        <v>15</v>
      </c>
      <c r="L71" s="19">
        <f>SalesData!I71/SalesData!J71</f>
        <v>0.9365231259968102</v>
      </c>
    </row>
    <row r="72" spans="1:12" x14ac:dyDescent="0.25">
      <c r="A72" s="2">
        <v>1071</v>
      </c>
      <c r="B72" s="3">
        <v>45898</v>
      </c>
      <c r="C72" s="2" t="s">
        <v>28</v>
      </c>
      <c r="D72" s="2" t="s">
        <v>23</v>
      </c>
      <c r="E72" s="2" t="s">
        <v>35</v>
      </c>
      <c r="F72" s="2" t="s">
        <v>14</v>
      </c>
      <c r="G72" s="2">
        <v>6</v>
      </c>
      <c r="H72" s="2">
        <v>363</v>
      </c>
      <c r="I72" s="2">
        <v>2178</v>
      </c>
      <c r="J72" s="2">
        <v>1965</v>
      </c>
      <c r="K72" s="2" t="s">
        <v>15</v>
      </c>
      <c r="L72" s="19">
        <f>SalesData!I72/SalesData!J72</f>
        <v>1.1083969465648855</v>
      </c>
    </row>
    <row r="73" spans="1:12" x14ac:dyDescent="0.25">
      <c r="A73" s="2">
        <v>1072</v>
      </c>
      <c r="B73" s="3">
        <v>45904</v>
      </c>
      <c r="C73" s="2" t="s">
        <v>11</v>
      </c>
      <c r="D73" s="2" t="s">
        <v>17</v>
      </c>
      <c r="E73" s="2" t="s">
        <v>18</v>
      </c>
      <c r="F73" s="2" t="s">
        <v>32</v>
      </c>
      <c r="G73" s="2">
        <v>10</v>
      </c>
      <c r="H73" s="2">
        <v>393</v>
      </c>
      <c r="I73" s="2">
        <v>3930</v>
      </c>
      <c r="J73" s="2">
        <v>4589</v>
      </c>
      <c r="K73" s="2" t="s">
        <v>15</v>
      </c>
      <c r="L73" s="19">
        <f>SalesData!I73/SalesData!J73</f>
        <v>0.85639572891697535</v>
      </c>
    </row>
    <row r="74" spans="1:12" x14ac:dyDescent="0.25">
      <c r="A74" s="2">
        <v>1073</v>
      </c>
      <c r="B74" s="3">
        <v>45965</v>
      </c>
      <c r="C74" s="2" t="s">
        <v>25</v>
      </c>
      <c r="D74" s="2" t="s">
        <v>12</v>
      </c>
      <c r="E74" s="2" t="s">
        <v>13</v>
      </c>
      <c r="F74" s="2" t="s">
        <v>19</v>
      </c>
      <c r="G74" s="2">
        <v>4</v>
      </c>
      <c r="H74" s="2">
        <v>370</v>
      </c>
      <c r="I74" s="2">
        <v>1480</v>
      </c>
      <c r="J74" s="2">
        <v>1213</v>
      </c>
      <c r="K74" s="2" t="s">
        <v>15</v>
      </c>
      <c r="L74" s="19">
        <f>SalesData!I74/SalesData!J74</f>
        <v>1.2201154163231658</v>
      </c>
    </row>
    <row r="75" spans="1:12" x14ac:dyDescent="0.25">
      <c r="A75" s="2">
        <v>1074</v>
      </c>
      <c r="B75" s="3">
        <v>45659</v>
      </c>
      <c r="C75" s="2" t="s">
        <v>16</v>
      </c>
      <c r="D75" s="2" t="s">
        <v>23</v>
      </c>
      <c r="E75" s="2" t="s">
        <v>26</v>
      </c>
      <c r="F75" s="2" t="s">
        <v>29</v>
      </c>
      <c r="G75" s="2">
        <v>10</v>
      </c>
      <c r="H75" s="2">
        <v>211</v>
      </c>
      <c r="I75" s="2">
        <v>2110</v>
      </c>
      <c r="J75" s="2">
        <v>2413</v>
      </c>
      <c r="K75" s="2" t="s">
        <v>15</v>
      </c>
      <c r="L75" s="19">
        <f>SalesData!I75/SalesData!J75</f>
        <v>0.8744301699129714</v>
      </c>
    </row>
    <row r="76" spans="1:12" x14ac:dyDescent="0.25">
      <c r="A76" s="2">
        <v>1075</v>
      </c>
      <c r="B76" s="3">
        <v>45858</v>
      </c>
      <c r="C76" s="2" t="s">
        <v>16</v>
      </c>
      <c r="D76" s="2" t="s">
        <v>12</v>
      </c>
      <c r="E76" s="2" t="s">
        <v>34</v>
      </c>
      <c r="F76" s="2" t="s">
        <v>29</v>
      </c>
      <c r="G76" s="2">
        <v>10</v>
      </c>
      <c r="H76" s="2">
        <v>350</v>
      </c>
      <c r="I76" s="2">
        <v>3500</v>
      </c>
      <c r="J76" s="2">
        <v>3056</v>
      </c>
      <c r="K76" s="2" t="s">
        <v>20</v>
      </c>
      <c r="L76" s="19">
        <f>SalesData!I76/SalesData!J76</f>
        <v>1.1452879581151831</v>
      </c>
    </row>
    <row r="77" spans="1:12" x14ac:dyDescent="0.25">
      <c r="A77" s="2">
        <v>1076</v>
      </c>
      <c r="B77" s="3">
        <v>45721</v>
      </c>
      <c r="C77" s="2" t="s">
        <v>28</v>
      </c>
      <c r="D77" s="2" t="s">
        <v>17</v>
      </c>
      <c r="E77" s="2" t="s">
        <v>18</v>
      </c>
      <c r="F77" s="2" t="s">
        <v>31</v>
      </c>
      <c r="G77" s="2">
        <v>2</v>
      </c>
      <c r="H77" s="2">
        <v>138</v>
      </c>
      <c r="I77" s="2">
        <v>276</v>
      </c>
      <c r="J77" s="2">
        <v>304</v>
      </c>
      <c r="K77" s="2" t="s">
        <v>20</v>
      </c>
      <c r="L77" s="19">
        <f>SalesData!I77/SalesData!J77</f>
        <v>0.90789473684210531</v>
      </c>
    </row>
    <row r="78" spans="1:12" x14ac:dyDescent="0.25">
      <c r="A78" s="2">
        <v>1077</v>
      </c>
      <c r="B78" s="3">
        <v>45877</v>
      </c>
      <c r="C78" s="2" t="s">
        <v>25</v>
      </c>
      <c r="D78" s="2" t="s">
        <v>23</v>
      </c>
      <c r="E78" s="2" t="s">
        <v>24</v>
      </c>
      <c r="F78" s="2" t="s">
        <v>14</v>
      </c>
      <c r="G78" s="2">
        <v>10</v>
      </c>
      <c r="H78" s="2">
        <v>382</v>
      </c>
      <c r="I78" s="2">
        <v>3820</v>
      </c>
      <c r="J78" s="2">
        <v>4718</v>
      </c>
      <c r="K78" s="2" t="s">
        <v>20</v>
      </c>
      <c r="L78" s="19">
        <f>SalesData!I78/SalesData!J78</f>
        <v>0.80966511233573546</v>
      </c>
    </row>
    <row r="79" spans="1:12" x14ac:dyDescent="0.25">
      <c r="A79" s="2">
        <v>1078</v>
      </c>
      <c r="B79" s="3">
        <v>45838</v>
      </c>
      <c r="C79" s="2" t="s">
        <v>16</v>
      </c>
      <c r="D79" s="2" t="s">
        <v>23</v>
      </c>
      <c r="E79" s="2" t="s">
        <v>24</v>
      </c>
      <c r="F79" s="2" t="s">
        <v>29</v>
      </c>
      <c r="G79" s="2">
        <v>7</v>
      </c>
      <c r="H79" s="2">
        <v>351</v>
      </c>
      <c r="I79" s="2">
        <v>2457</v>
      </c>
      <c r="J79" s="2">
        <v>2011</v>
      </c>
      <c r="K79" s="2" t="s">
        <v>15</v>
      </c>
      <c r="L79" s="19">
        <f>SalesData!I79/SalesData!J79</f>
        <v>1.2217802088513177</v>
      </c>
    </row>
    <row r="80" spans="1:12" x14ac:dyDescent="0.25">
      <c r="A80" s="2">
        <v>1079</v>
      </c>
      <c r="B80" s="3">
        <v>45679</v>
      </c>
      <c r="C80" s="2" t="s">
        <v>25</v>
      </c>
      <c r="D80" s="2" t="s">
        <v>23</v>
      </c>
      <c r="E80" s="2" t="s">
        <v>26</v>
      </c>
      <c r="F80" s="2" t="s">
        <v>32</v>
      </c>
      <c r="G80" s="2">
        <v>4</v>
      </c>
      <c r="H80" s="2">
        <v>462</v>
      </c>
      <c r="I80" s="2">
        <v>1848</v>
      </c>
      <c r="J80" s="2">
        <v>2208</v>
      </c>
      <c r="K80" s="2" t="s">
        <v>15</v>
      </c>
      <c r="L80" s="19">
        <f>SalesData!I80/SalesData!J80</f>
        <v>0.83695652173913049</v>
      </c>
    </row>
    <row r="81" spans="1:12" x14ac:dyDescent="0.25">
      <c r="A81" s="2">
        <v>1080</v>
      </c>
      <c r="B81" s="3">
        <v>45736</v>
      </c>
      <c r="C81" s="2" t="s">
        <v>25</v>
      </c>
      <c r="D81" s="2" t="s">
        <v>17</v>
      </c>
      <c r="E81" s="2" t="s">
        <v>18</v>
      </c>
      <c r="F81" s="2" t="s">
        <v>22</v>
      </c>
      <c r="G81" s="2">
        <v>3</v>
      </c>
      <c r="H81" s="2">
        <v>319</v>
      </c>
      <c r="I81" s="2">
        <v>957</v>
      </c>
      <c r="J81" s="2">
        <v>1211</v>
      </c>
      <c r="K81" s="2" t="s">
        <v>15</v>
      </c>
      <c r="L81" s="19">
        <f>SalesData!I81/SalesData!J81</f>
        <v>0.79025598678777864</v>
      </c>
    </row>
    <row r="82" spans="1:12" x14ac:dyDescent="0.25">
      <c r="A82" s="2">
        <v>1081</v>
      </c>
      <c r="B82" s="3">
        <v>45807</v>
      </c>
      <c r="C82" s="2" t="s">
        <v>11</v>
      </c>
      <c r="D82" s="2" t="s">
        <v>17</v>
      </c>
      <c r="E82" s="2" t="s">
        <v>18</v>
      </c>
      <c r="F82" s="2" t="s">
        <v>31</v>
      </c>
      <c r="G82" s="2">
        <v>10</v>
      </c>
      <c r="H82" s="2">
        <v>348</v>
      </c>
      <c r="I82" s="2">
        <v>3480</v>
      </c>
      <c r="J82" s="2">
        <v>3494</v>
      </c>
      <c r="K82" s="2" t="s">
        <v>20</v>
      </c>
      <c r="L82" s="19">
        <f>SalesData!I82/SalesData!J82</f>
        <v>0.99599313108185461</v>
      </c>
    </row>
    <row r="83" spans="1:12" x14ac:dyDescent="0.25">
      <c r="A83" s="2">
        <v>1082</v>
      </c>
      <c r="B83" s="3">
        <v>45683</v>
      </c>
      <c r="C83" s="2" t="s">
        <v>11</v>
      </c>
      <c r="D83" s="2" t="s">
        <v>12</v>
      </c>
      <c r="E83" s="2" t="s">
        <v>34</v>
      </c>
      <c r="F83" s="2" t="s">
        <v>31</v>
      </c>
      <c r="G83" s="2">
        <v>9</v>
      </c>
      <c r="H83" s="2">
        <v>29</v>
      </c>
      <c r="I83" s="2">
        <v>261</v>
      </c>
      <c r="J83" s="2">
        <v>296</v>
      </c>
      <c r="K83" s="2" t="s">
        <v>20</v>
      </c>
      <c r="L83" s="19">
        <f>SalesData!I83/SalesData!J83</f>
        <v>0.8817567567567568</v>
      </c>
    </row>
    <row r="84" spans="1:12" x14ac:dyDescent="0.25">
      <c r="A84" s="2">
        <v>1083</v>
      </c>
      <c r="B84" s="3">
        <v>45994</v>
      </c>
      <c r="C84" s="2" t="s">
        <v>28</v>
      </c>
      <c r="D84" s="2" t="s">
        <v>17</v>
      </c>
      <c r="E84" s="2" t="s">
        <v>18</v>
      </c>
      <c r="F84" s="2" t="s">
        <v>22</v>
      </c>
      <c r="G84" s="2">
        <v>3</v>
      </c>
      <c r="H84" s="2">
        <v>194</v>
      </c>
      <c r="I84" s="2">
        <v>582</v>
      </c>
      <c r="J84" s="2">
        <v>499</v>
      </c>
      <c r="K84" s="2" t="s">
        <v>20</v>
      </c>
      <c r="L84" s="19">
        <f>SalesData!I84/SalesData!J84</f>
        <v>1.1663326653306614</v>
      </c>
    </row>
    <row r="85" spans="1:12" x14ac:dyDescent="0.25">
      <c r="A85" s="2">
        <v>1084</v>
      </c>
      <c r="B85" s="3">
        <v>45947</v>
      </c>
      <c r="C85" s="2" t="s">
        <v>11</v>
      </c>
      <c r="D85" s="2" t="s">
        <v>23</v>
      </c>
      <c r="E85" s="2" t="s">
        <v>26</v>
      </c>
      <c r="F85" s="2" t="s">
        <v>32</v>
      </c>
      <c r="G85" s="2">
        <v>9</v>
      </c>
      <c r="H85" s="2">
        <v>334</v>
      </c>
      <c r="I85" s="2">
        <v>3006</v>
      </c>
      <c r="J85" s="2">
        <v>3663</v>
      </c>
      <c r="K85" s="2" t="s">
        <v>20</v>
      </c>
      <c r="L85" s="19">
        <f>SalesData!I85/SalesData!J85</f>
        <v>0.82063882063882065</v>
      </c>
    </row>
    <row r="86" spans="1:12" x14ac:dyDescent="0.25">
      <c r="A86" s="2">
        <v>1085</v>
      </c>
      <c r="B86" s="3">
        <v>45742</v>
      </c>
      <c r="C86" s="2" t="s">
        <v>28</v>
      </c>
      <c r="D86" s="2" t="s">
        <v>17</v>
      </c>
      <c r="E86" s="2" t="s">
        <v>30</v>
      </c>
      <c r="F86" s="2" t="s">
        <v>32</v>
      </c>
      <c r="G86" s="2">
        <v>8</v>
      </c>
      <c r="H86" s="2">
        <v>362</v>
      </c>
      <c r="I86" s="2">
        <v>2896</v>
      </c>
      <c r="J86" s="2">
        <v>3086</v>
      </c>
      <c r="K86" s="2" t="s">
        <v>15</v>
      </c>
      <c r="L86" s="19">
        <f>SalesData!I86/SalesData!J86</f>
        <v>0.93843162670123137</v>
      </c>
    </row>
    <row r="87" spans="1:12" x14ac:dyDescent="0.25">
      <c r="A87" s="2">
        <v>1086</v>
      </c>
      <c r="B87" s="3">
        <v>45724</v>
      </c>
      <c r="C87" s="2" t="s">
        <v>28</v>
      </c>
      <c r="D87" s="2" t="s">
        <v>17</v>
      </c>
      <c r="E87" s="2" t="s">
        <v>18</v>
      </c>
      <c r="F87" s="2" t="s">
        <v>14</v>
      </c>
      <c r="G87" s="2">
        <v>5</v>
      </c>
      <c r="H87" s="2">
        <v>161</v>
      </c>
      <c r="I87" s="2">
        <v>805</v>
      </c>
      <c r="J87" s="2">
        <v>847</v>
      </c>
      <c r="K87" s="2" t="s">
        <v>20</v>
      </c>
      <c r="L87" s="19">
        <f>SalesData!I87/SalesData!J87</f>
        <v>0.95041322314049592</v>
      </c>
    </row>
    <row r="88" spans="1:12" x14ac:dyDescent="0.25">
      <c r="A88" s="2">
        <v>1087</v>
      </c>
      <c r="B88" s="3">
        <v>45864</v>
      </c>
      <c r="C88" s="2" t="s">
        <v>25</v>
      </c>
      <c r="D88" s="2" t="s">
        <v>23</v>
      </c>
      <c r="E88" s="2" t="s">
        <v>24</v>
      </c>
      <c r="F88" s="2" t="s">
        <v>19</v>
      </c>
      <c r="G88" s="2">
        <v>7</v>
      </c>
      <c r="H88" s="2">
        <v>22</v>
      </c>
      <c r="I88" s="2">
        <v>154</v>
      </c>
      <c r="J88" s="2">
        <v>150</v>
      </c>
      <c r="K88" s="2" t="s">
        <v>20</v>
      </c>
      <c r="L88" s="19">
        <f>SalesData!I88/SalesData!J88</f>
        <v>1.0266666666666666</v>
      </c>
    </row>
    <row r="89" spans="1:12" x14ac:dyDescent="0.25">
      <c r="A89" s="2">
        <v>1088</v>
      </c>
      <c r="B89" s="3">
        <v>45778</v>
      </c>
      <c r="C89" s="2" t="s">
        <v>16</v>
      </c>
      <c r="D89" s="2" t="s">
        <v>23</v>
      </c>
      <c r="E89" s="2" t="s">
        <v>26</v>
      </c>
      <c r="F89" s="2" t="s">
        <v>29</v>
      </c>
      <c r="G89" s="2">
        <v>2</v>
      </c>
      <c r="H89" s="2">
        <v>401</v>
      </c>
      <c r="I89" s="2">
        <v>802</v>
      </c>
      <c r="J89" s="2">
        <v>739</v>
      </c>
      <c r="K89" s="2" t="s">
        <v>15</v>
      </c>
      <c r="L89" s="19">
        <f>SalesData!I89/SalesData!J89</f>
        <v>1.0852503382949932</v>
      </c>
    </row>
    <row r="90" spans="1:12" x14ac:dyDescent="0.25">
      <c r="A90" s="2">
        <v>1089</v>
      </c>
      <c r="B90" s="3">
        <v>45966</v>
      </c>
      <c r="C90" s="2" t="s">
        <v>16</v>
      </c>
      <c r="D90" s="2" t="s">
        <v>23</v>
      </c>
      <c r="E90" s="2" t="s">
        <v>26</v>
      </c>
      <c r="F90" s="2" t="s">
        <v>31</v>
      </c>
      <c r="G90" s="2">
        <v>8</v>
      </c>
      <c r="H90" s="2">
        <v>416</v>
      </c>
      <c r="I90" s="2">
        <v>3328</v>
      </c>
      <c r="J90" s="2">
        <v>3985</v>
      </c>
      <c r="K90" s="2" t="s">
        <v>20</v>
      </c>
      <c r="L90" s="19">
        <f>SalesData!I90/SalesData!J90</f>
        <v>0.83513174404015056</v>
      </c>
    </row>
    <row r="91" spans="1:12" x14ac:dyDescent="0.25">
      <c r="A91" s="2">
        <v>1090</v>
      </c>
      <c r="B91" s="3">
        <v>45849</v>
      </c>
      <c r="C91" s="2" t="s">
        <v>25</v>
      </c>
      <c r="D91" s="2" t="s">
        <v>12</v>
      </c>
      <c r="E91" s="2" t="s">
        <v>33</v>
      </c>
      <c r="F91" s="2" t="s">
        <v>31</v>
      </c>
      <c r="G91" s="2">
        <v>4</v>
      </c>
      <c r="H91" s="2">
        <v>456</v>
      </c>
      <c r="I91" s="2">
        <v>1824</v>
      </c>
      <c r="J91" s="2">
        <v>2116</v>
      </c>
      <c r="K91" s="2" t="s">
        <v>20</v>
      </c>
      <c r="L91" s="19">
        <f>SalesData!I91/SalesData!J91</f>
        <v>0.8620037807183365</v>
      </c>
    </row>
    <row r="92" spans="1:12" x14ac:dyDescent="0.25">
      <c r="A92" s="2">
        <v>1091</v>
      </c>
      <c r="B92" s="3">
        <v>45878</v>
      </c>
      <c r="C92" s="2" t="s">
        <v>25</v>
      </c>
      <c r="D92" s="2" t="s">
        <v>12</v>
      </c>
      <c r="E92" s="2" t="s">
        <v>21</v>
      </c>
      <c r="F92" s="2" t="s">
        <v>14</v>
      </c>
      <c r="G92" s="2">
        <v>7</v>
      </c>
      <c r="H92" s="2">
        <v>499</v>
      </c>
      <c r="I92" s="2">
        <v>3493</v>
      </c>
      <c r="J92" s="2">
        <v>3885</v>
      </c>
      <c r="K92" s="2" t="s">
        <v>20</v>
      </c>
      <c r="L92" s="19">
        <f>SalesData!I92/SalesData!J92</f>
        <v>0.89909909909909913</v>
      </c>
    </row>
    <row r="93" spans="1:12" x14ac:dyDescent="0.25">
      <c r="A93" s="2">
        <v>1092</v>
      </c>
      <c r="B93" s="3">
        <v>45939</v>
      </c>
      <c r="C93" s="2" t="s">
        <v>11</v>
      </c>
      <c r="D93" s="2" t="s">
        <v>17</v>
      </c>
      <c r="E93" s="2" t="s">
        <v>30</v>
      </c>
      <c r="F93" s="2" t="s">
        <v>32</v>
      </c>
      <c r="G93" s="2">
        <v>6</v>
      </c>
      <c r="H93" s="2">
        <v>203</v>
      </c>
      <c r="I93" s="2">
        <v>1218</v>
      </c>
      <c r="J93" s="2">
        <v>1185</v>
      </c>
      <c r="K93" s="2" t="s">
        <v>20</v>
      </c>
      <c r="L93" s="19">
        <f>SalesData!I93/SalesData!J93</f>
        <v>1.0278481012658227</v>
      </c>
    </row>
    <row r="94" spans="1:12" x14ac:dyDescent="0.25">
      <c r="A94" s="2">
        <v>1093</v>
      </c>
      <c r="B94" s="3">
        <v>45711</v>
      </c>
      <c r="C94" s="2" t="s">
        <v>11</v>
      </c>
      <c r="D94" s="2" t="s">
        <v>17</v>
      </c>
      <c r="E94" s="2" t="s">
        <v>30</v>
      </c>
      <c r="F94" s="2" t="s">
        <v>14</v>
      </c>
      <c r="G94" s="2">
        <v>4</v>
      </c>
      <c r="H94" s="2">
        <v>235</v>
      </c>
      <c r="I94" s="2">
        <v>940</v>
      </c>
      <c r="J94" s="2">
        <v>760</v>
      </c>
      <c r="K94" s="2" t="s">
        <v>15</v>
      </c>
      <c r="L94" s="19">
        <f>SalesData!I94/SalesData!J94</f>
        <v>1.236842105263158</v>
      </c>
    </row>
    <row r="95" spans="1:12" x14ac:dyDescent="0.25">
      <c r="A95" s="2">
        <v>1094</v>
      </c>
      <c r="B95" s="3">
        <v>45869</v>
      </c>
      <c r="C95" s="2" t="s">
        <v>25</v>
      </c>
      <c r="D95" s="2" t="s">
        <v>17</v>
      </c>
      <c r="E95" s="2" t="s">
        <v>18</v>
      </c>
      <c r="F95" s="2" t="s">
        <v>31</v>
      </c>
      <c r="G95" s="2">
        <v>9</v>
      </c>
      <c r="H95" s="2">
        <v>317</v>
      </c>
      <c r="I95" s="2">
        <v>2853</v>
      </c>
      <c r="J95" s="2">
        <v>2847</v>
      </c>
      <c r="K95" s="2" t="s">
        <v>20</v>
      </c>
      <c r="L95" s="19">
        <f>SalesData!I95/SalesData!J95</f>
        <v>1.0021074815595363</v>
      </c>
    </row>
    <row r="96" spans="1:12" x14ac:dyDescent="0.25">
      <c r="A96" s="2">
        <v>1095</v>
      </c>
      <c r="B96" s="3">
        <v>45922</v>
      </c>
      <c r="C96" s="2" t="s">
        <v>16</v>
      </c>
      <c r="D96" s="2" t="s">
        <v>12</v>
      </c>
      <c r="E96" s="2" t="s">
        <v>33</v>
      </c>
      <c r="F96" s="2" t="s">
        <v>14</v>
      </c>
      <c r="G96" s="2">
        <v>2</v>
      </c>
      <c r="H96" s="2">
        <v>447</v>
      </c>
      <c r="I96" s="2">
        <v>894</v>
      </c>
      <c r="J96" s="2">
        <v>1158</v>
      </c>
      <c r="K96" s="2" t="s">
        <v>20</v>
      </c>
      <c r="L96" s="19">
        <f>SalesData!I96/SalesData!J96</f>
        <v>0.772020725388601</v>
      </c>
    </row>
    <row r="97" spans="1:12" x14ac:dyDescent="0.25">
      <c r="A97" s="2">
        <v>1096</v>
      </c>
      <c r="B97" s="3">
        <v>45719</v>
      </c>
      <c r="C97" s="2" t="s">
        <v>28</v>
      </c>
      <c r="D97" s="2" t="s">
        <v>12</v>
      </c>
      <c r="E97" s="2" t="s">
        <v>34</v>
      </c>
      <c r="F97" s="2" t="s">
        <v>32</v>
      </c>
      <c r="G97" s="2">
        <v>7</v>
      </c>
      <c r="H97" s="2">
        <v>331</v>
      </c>
      <c r="I97" s="2">
        <v>2317</v>
      </c>
      <c r="J97" s="2">
        <v>1926</v>
      </c>
      <c r="K97" s="2" t="s">
        <v>20</v>
      </c>
      <c r="L97" s="19">
        <f>SalesData!I97/SalesData!J97</f>
        <v>1.2030114226375908</v>
      </c>
    </row>
    <row r="98" spans="1:12" x14ac:dyDescent="0.25">
      <c r="A98" s="2">
        <v>1097</v>
      </c>
      <c r="B98" s="3">
        <v>45983</v>
      </c>
      <c r="C98" s="2" t="s">
        <v>11</v>
      </c>
      <c r="D98" s="2" t="s">
        <v>17</v>
      </c>
      <c r="E98" s="2" t="s">
        <v>30</v>
      </c>
      <c r="F98" s="2" t="s">
        <v>31</v>
      </c>
      <c r="G98" s="2">
        <v>5</v>
      </c>
      <c r="H98" s="2">
        <v>385</v>
      </c>
      <c r="I98" s="2">
        <v>1925</v>
      </c>
      <c r="J98" s="2">
        <v>1600</v>
      </c>
      <c r="K98" s="2" t="s">
        <v>20</v>
      </c>
      <c r="L98" s="19">
        <f>SalesData!I98/SalesData!J98</f>
        <v>1.203125</v>
      </c>
    </row>
    <row r="99" spans="1:12" x14ac:dyDescent="0.25">
      <c r="A99" s="2">
        <v>1098</v>
      </c>
      <c r="B99" s="3">
        <v>45793</v>
      </c>
      <c r="C99" s="2" t="s">
        <v>11</v>
      </c>
      <c r="D99" s="2" t="s">
        <v>23</v>
      </c>
      <c r="E99" s="2" t="s">
        <v>35</v>
      </c>
      <c r="F99" s="2" t="s">
        <v>14</v>
      </c>
      <c r="G99" s="2">
        <v>7</v>
      </c>
      <c r="H99" s="2">
        <v>360</v>
      </c>
      <c r="I99" s="2">
        <v>2520</v>
      </c>
      <c r="J99" s="2">
        <v>2897</v>
      </c>
      <c r="K99" s="2" t="s">
        <v>15</v>
      </c>
      <c r="L99" s="19">
        <f>SalesData!I99/SalesData!J99</f>
        <v>0.86986537797721786</v>
      </c>
    </row>
    <row r="100" spans="1:12" x14ac:dyDescent="0.25">
      <c r="A100" s="2">
        <v>1099</v>
      </c>
      <c r="B100" s="3">
        <v>45680</v>
      </c>
      <c r="C100" s="2" t="s">
        <v>16</v>
      </c>
      <c r="D100" s="2" t="s">
        <v>17</v>
      </c>
      <c r="E100" s="2" t="s">
        <v>18</v>
      </c>
      <c r="F100" s="2" t="s">
        <v>31</v>
      </c>
      <c r="G100" s="2">
        <v>9</v>
      </c>
      <c r="H100" s="2">
        <v>330</v>
      </c>
      <c r="I100" s="2">
        <v>2970</v>
      </c>
      <c r="J100" s="2">
        <v>3031</v>
      </c>
      <c r="K100" s="2" t="s">
        <v>15</v>
      </c>
      <c r="L100" s="19">
        <f>SalesData!I100/SalesData!J100</f>
        <v>0.97987462883536791</v>
      </c>
    </row>
    <row r="101" spans="1:12" x14ac:dyDescent="0.25">
      <c r="A101" s="2">
        <v>1100</v>
      </c>
      <c r="B101" s="3">
        <v>45979</v>
      </c>
      <c r="C101" s="2" t="s">
        <v>25</v>
      </c>
      <c r="D101" s="2" t="s">
        <v>12</v>
      </c>
      <c r="E101" s="2" t="s">
        <v>21</v>
      </c>
      <c r="F101" s="2" t="s">
        <v>31</v>
      </c>
      <c r="G101" s="2">
        <v>6</v>
      </c>
      <c r="H101" s="2">
        <v>153</v>
      </c>
      <c r="I101" s="2">
        <v>918</v>
      </c>
      <c r="J101" s="2">
        <v>1133</v>
      </c>
      <c r="K101" s="2" t="s">
        <v>20</v>
      </c>
      <c r="L101" s="19">
        <f>SalesData!I101/SalesData!J101</f>
        <v>0.81023830538393649</v>
      </c>
    </row>
    <row r="102" spans="1:12" x14ac:dyDescent="0.25">
      <c r="A102" s="2">
        <v>1101</v>
      </c>
      <c r="B102" s="3">
        <v>46005</v>
      </c>
      <c r="C102" s="2" t="s">
        <v>28</v>
      </c>
      <c r="D102" s="2" t="s">
        <v>17</v>
      </c>
      <c r="E102" s="2" t="s">
        <v>18</v>
      </c>
      <c r="F102" s="2" t="s">
        <v>29</v>
      </c>
      <c r="G102" s="2">
        <v>2</v>
      </c>
      <c r="H102" s="2">
        <v>230</v>
      </c>
      <c r="I102" s="2">
        <v>460</v>
      </c>
      <c r="J102" s="2">
        <v>400</v>
      </c>
      <c r="K102" s="2" t="s">
        <v>20</v>
      </c>
      <c r="L102" s="19">
        <f>SalesData!I102/SalesData!J102</f>
        <v>1.1499999999999999</v>
      </c>
    </row>
    <row r="103" spans="1:12" x14ac:dyDescent="0.25">
      <c r="A103" s="2">
        <v>1102</v>
      </c>
      <c r="B103" s="3">
        <v>45846</v>
      </c>
      <c r="C103" s="2" t="s">
        <v>28</v>
      </c>
      <c r="D103" s="2" t="s">
        <v>12</v>
      </c>
      <c r="E103" s="2" t="s">
        <v>21</v>
      </c>
      <c r="F103" s="2" t="s">
        <v>14</v>
      </c>
      <c r="G103" s="2">
        <v>5</v>
      </c>
      <c r="H103" s="2">
        <v>97</v>
      </c>
      <c r="I103" s="2">
        <v>485</v>
      </c>
      <c r="J103" s="2">
        <v>603</v>
      </c>
      <c r="K103" s="2" t="s">
        <v>15</v>
      </c>
      <c r="L103" s="19">
        <f>SalesData!I103/SalesData!J103</f>
        <v>0.80431177446102819</v>
      </c>
    </row>
    <row r="104" spans="1:12" x14ac:dyDescent="0.25">
      <c r="A104" s="2">
        <v>1103</v>
      </c>
      <c r="B104" s="3">
        <v>46018</v>
      </c>
      <c r="C104" s="2" t="s">
        <v>16</v>
      </c>
      <c r="D104" s="2" t="s">
        <v>12</v>
      </c>
      <c r="E104" s="2" t="s">
        <v>13</v>
      </c>
      <c r="F104" s="2" t="s">
        <v>22</v>
      </c>
      <c r="G104" s="2">
        <v>2</v>
      </c>
      <c r="H104" s="2">
        <v>426</v>
      </c>
      <c r="I104" s="2">
        <v>852</v>
      </c>
      <c r="J104" s="2">
        <v>1063</v>
      </c>
      <c r="K104" s="2" t="s">
        <v>20</v>
      </c>
      <c r="L104" s="19">
        <f>SalesData!I104/SalesData!J104</f>
        <v>0.80150517403574784</v>
      </c>
    </row>
    <row r="105" spans="1:12" x14ac:dyDescent="0.25">
      <c r="A105" s="2">
        <v>1104</v>
      </c>
      <c r="B105" s="3">
        <v>45693</v>
      </c>
      <c r="C105" s="2" t="s">
        <v>25</v>
      </c>
      <c r="D105" s="2" t="s">
        <v>12</v>
      </c>
      <c r="E105" s="2" t="s">
        <v>21</v>
      </c>
      <c r="F105" s="2" t="s">
        <v>29</v>
      </c>
      <c r="G105" s="2">
        <v>5</v>
      </c>
      <c r="H105" s="2">
        <v>443</v>
      </c>
      <c r="I105" s="2">
        <v>2215</v>
      </c>
      <c r="J105" s="2">
        <v>2759</v>
      </c>
      <c r="K105" s="2" t="s">
        <v>15</v>
      </c>
      <c r="L105" s="19">
        <f>SalesData!I105/SalesData!J105</f>
        <v>0.80282711127220008</v>
      </c>
    </row>
    <row r="106" spans="1:12" x14ac:dyDescent="0.25">
      <c r="A106" s="2">
        <v>1105</v>
      </c>
      <c r="B106" s="3">
        <v>45879</v>
      </c>
      <c r="C106" s="2" t="s">
        <v>28</v>
      </c>
      <c r="D106" s="2" t="s">
        <v>12</v>
      </c>
      <c r="E106" s="2" t="s">
        <v>13</v>
      </c>
      <c r="F106" s="2" t="s">
        <v>29</v>
      </c>
      <c r="G106" s="2">
        <v>3</v>
      </c>
      <c r="H106" s="2">
        <v>399</v>
      </c>
      <c r="I106" s="2">
        <v>1197</v>
      </c>
      <c r="J106" s="2">
        <v>1129</v>
      </c>
      <c r="K106" s="2" t="s">
        <v>15</v>
      </c>
      <c r="L106" s="19">
        <f>SalesData!I106/SalesData!J106</f>
        <v>1.0602302922940656</v>
      </c>
    </row>
    <row r="107" spans="1:12" x14ac:dyDescent="0.25">
      <c r="A107" s="2">
        <v>1106</v>
      </c>
      <c r="B107" s="3">
        <v>45785</v>
      </c>
      <c r="C107" s="2" t="s">
        <v>25</v>
      </c>
      <c r="D107" s="2" t="s">
        <v>23</v>
      </c>
      <c r="E107" s="2" t="s">
        <v>26</v>
      </c>
      <c r="F107" s="2" t="s">
        <v>31</v>
      </c>
      <c r="G107" s="2">
        <v>6</v>
      </c>
      <c r="H107" s="2">
        <v>420</v>
      </c>
      <c r="I107" s="2">
        <v>2520</v>
      </c>
      <c r="J107" s="2">
        <v>2854</v>
      </c>
      <c r="K107" s="2" t="s">
        <v>15</v>
      </c>
      <c r="L107" s="19">
        <f>SalesData!I107/SalesData!J107</f>
        <v>0.88297126839523477</v>
      </c>
    </row>
    <row r="108" spans="1:12" x14ac:dyDescent="0.25">
      <c r="A108" s="2">
        <v>1107</v>
      </c>
      <c r="B108" s="3">
        <v>45995</v>
      </c>
      <c r="C108" s="2" t="s">
        <v>11</v>
      </c>
      <c r="D108" s="2" t="s">
        <v>12</v>
      </c>
      <c r="E108" s="2" t="s">
        <v>13</v>
      </c>
      <c r="F108" s="2" t="s">
        <v>32</v>
      </c>
      <c r="G108" s="2">
        <v>5</v>
      </c>
      <c r="H108" s="2">
        <v>425</v>
      </c>
      <c r="I108" s="2">
        <v>2125</v>
      </c>
      <c r="J108" s="2">
        <v>2520</v>
      </c>
      <c r="K108" s="2" t="s">
        <v>15</v>
      </c>
      <c r="L108" s="19">
        <f>SalesData!I108/SalesData!J108</f>
        <v>0.84325396825396826</v>
      </c>
    </row>
    <row r="109" spans="1:12" x14ac:dyDescent="0.25">
      <c r="A109" s="2">
        <v>1108</v>
      </c>
      <c r="B109" s="3">
        <v>45985</v>
      </c>
      <c r="C109" s="2" t="s">
        <v>25</v>
      </c>
      <c r="D109" s="2" t="s">
        <v>12</v>
      </c>
      <c r="E109" s="2" t="s">
        <v>33</v>
      </c>
      <c r="F109" s="2" t="s">
        <v>32</v>
      </c>
      <c r="G109" s="2">
        <v>7</v>
      </c>
      <c r="H109" s="2">
        <v>483</v>
      </c>
      <c r="I109" s="2">
        <v>3381</v>
      </c>
      <c r="J109" s="2">
        <v>3167</v>
      </c>
      <c r="K109" s="2" t="s">
        <v>20</v>
      </c>
      <c r="L109" s="19">
        <f>SalesData!I109/SalesData!J109</f>
        <v>1.0675718345437322</v>
      </c>
    </row>
    <row r="110" spans="1:12" x14ac:dyDescent="0.25">
      <c r="A110" s="2">
        <v>1109</v>
      </c>
      <c r="B110" s="3">
        <v>45806</v>
      </c>
      <c r="C110" s="2" t="s">
        <v>25</v>
      </c>
      <c r="D110" s="2" t="s">
        <v>17</v>
      </c>
      <c r="E110" s="2" t="s">
        <v>27</v>
      </c>
      <c r="F110" s="2" t="s">
        <v>31</v>
      </c>
      <c r="G110" s="2">
        <v>1</v>
      </c>
      <c r="H110" s="2">
        <v>175</v>
      </c>
      <c r="I110" s="2">
        <v>175</v>
      </c>
      <c r="J110" s="2">
        <v>177</v>
      </c>
      <c r="K110" s="2" t="s">
        <v>15</v>
      </c>
      <c r="L110" s="19">
        <f>SalesData!I110/SalesData!J110</f>
        <v>0.98870056497175141</v>
      </c>
    </row>
    <row r="111" spans="1:12" x14ac:dyDescent="0.25">
      <c r="A111" s="2">
        <v>1110</v>
      </c>
      <c r="B111" s="3">
        <v>45935</v>
      </c>
      <c r="C111" s="2" t="s">
        <v>11</v>
      </c>
      <c r="D111" s="2" t="s">
        <v>23</v>
      </c>
      <c r="E111" s="2" t="s">
        <v>26</v>
      </c>
      <c r="F111" s="2" t="s">
        <v>22</v>
      </c>
      <c r="G111" s="2">
        <v>8</v>
      </c>
      <c r="H111" s="2">
        <v>401</v>
      </c>
      <c r="I111" s="2">
        <v>3208</v>
      </c>
      <c r="J111" s="2">
        <v>3315</v>
      </c>
      <c r="K111" s="2" t="s">
        <v>15</v>
      </c>
      <c r="L111" s="19">
        <f>SalesData!I111/SalesData!J111</f>
        <v>0.96772247360482655</v>
      </c>
    </row>
    <row r="112" spans="1:12" x14ac:dyDescent="0.25">
      <c r="A112" s="2">
        <v>1111</v>
      </c>
      <c r="B112" s="3">
        <v>45761</v>
      </c>
      <c r="C112" s="2" t="s">
        <v>28</v>
      </c>
      <c r="D112" s="2" t="s">
        <v>17</v>
      </c>
      <c r="E112" s="2" t="s">
        <v>18</v>
      </c>
      <c r="F112" s="2" t="s">
        <v>32</v>
      </c>
      <c r="G112" s="2">
        <v>4</v>
      </c>
      <c r="H112" s="2">
        <v>230</v>
      </c>
      <c r="I112" s="2">
        <v>920</v>
      </c>
      <c r="J112" s="2">
        <v>889</v>
      </c>
      <c r="K112" s="2" t="s">
        <v>15</v>
      </c>
      <c r="L112" s="19">
        <f>SalesData!I112/SalesData!J112</f>
        <v>1.0348706411698538</v>
      </c>
    </row>
    <row r="113" spans="1:12" x14ac:dyDescent="0.25">
      <c r="A113" s="2">
        <v>1112</v>
      </c>
      <c r="B113" s="3">
        <v>45985</v>
      </c>
      <c r="C113" s="2" t="s">
        <v>11</v>
      </c>
      <c r="D113" s="2" t="s">
        <v>12</v>
      </c>
      <c r="E113" s="2" t="s">
        <v>34</v>
      </c>
      <c r="F113" s="2" t="s">
        <v>29</v>
      </c>
      <c r="G113" s="2">
        <v>2</v>
      </c>
      <c r="H113" s="2">
        <v>392</v>
      </c>
      <c r="I113" s="2">
        <v>784</v>
      </c>
      <c r="J113" s="2">
        <v>732</v>
      </c>
      <c r="K113" s="2" t="s">
        <v>20</v>
      </c>
      <c r="L113" s="19">
        <f>SalesData!I113/SalesData!J113</f>
        <v>1.0710382513661203</v>
      </c>
    </row>
    <row r="114" spans="1:12" x14ac:dyDescent="0.25">
      <c r="A114" s="2">
        <v>1113</v>
      </c>
      <c r="B114" s="3">
        <v>45753</v>
      </c>
      <c r="C114" s="2" t="s">
        <v>16</v>
      </c>
      <c r="D114" s="2" t="s">
        <v>17</v>
      </c>
      <c r="E114" s="2" t="s">
        <v>30</v>
      </c>
      <c r="F114" s="2" t="s">
        <v>32</v>
      </c>
      <c r="G114" s="2">
        <v>9</v>
      </c>
      <c r="H114" s="2">
        <v>65</v>
      </c>
      <c r="I114" s="2">
        <v>585</v>
      </c>
      <c r="J114" s="2">
        <v>639</v>
      </c>
      <c r="K114" s="2" t="s">
        <v>15</v>
      </c>
      <c r="L114" s="19">
        <f>SalesData!I114/SalesData!J114</f>
        <v>0.91549295774647887</v>
      </c>
    </row>
    <row r="115" spans="1:12" x14ac:dyDescent="0.25">
      <c r="A115" s="2">
        <v>1114</v>
      </c>
      <c r="B115" s="3">
        <v>45700</v>
      </c>
      <c r="C115" s="2" t="s">
        <v>16</v>
      </c>
      <c r="D115" s="2" t="s">
        <v>23</v>
      </c>
      <c r="E115" s="2" t="s">
        <v>35</v>
      </c>
      <c r="F115" s="2" t="s">
        <v>22</v>
      </c>
      <c r="G115" s="2">
        <v>4</v>
      </c>
      <c r="H115" s="2">
        <v>391</v>
      </c>
      <c r="I115" s="2">
        <v>1564</v>
      </c>
      <c r="J115" s="2">
        <v>1362</v>
      </c>
      <c r="K115" s="2" t="s">
        <v>15</v>
      </c>
      <c r="L115" s="19">
        <f>SalesData!I115/SalesData!J115</f>
        <v>1.1483113069016153</v>
      </c>
    </row>
    <row r="116" spans="1:12" x14ac:dyDescent="0.25">
      <c r="A116" s="2">
        <v>1115</v>
      </c>
      <c r="B116" s="3">
        <v>45758</v>
      </c>
      <c r="C116" s="2" t="s">
        <v>16</v>
      </c>
      <c r="D116" s="2" t="s">
        <v>23</v>
      </c>
      <c r="E116" s="2" t="s">
        <v>35</v>
      </c>
      <c r="F116" s="2" t="s">
        <v>32</v>
      </c>
      <c r="G116" s="2">
        <v>7</v>
      </c>
      <c r="H116" s="2">
        <v>75</v>
      </c>
      <c r="I116" s="2">
        <v>525</v>
      </c>
      <c r="J116" s="2">
        <v>517</v>
      </c>
      <c r="K116" s="2" t="s">
        <v>15</v>
      </c>
      <c r="L116" s="19">
        <f>SalesData!I116/SalesData!J116</f>
        <v>1.0154738878143132</v>
      </c>
    </row>
    <row r="117" spans="1:12" x14ac:dyDescent="0.25">
      <c r="A117" s="2">
        <v>1116</v>
      </c>
      <c r="B117" s="3">
        <v>46000</v>
      </c>
      <c r="C117" s="2" t="s">
        <v>11</v>
      </c>
      <c r="D117" s="2" t="s">
        <v>12</v>
      </c>
      <c r="E117" s="2" t="s">
        <v>33</v>
      </c>
      <c r="F117" s="2" t="s">
        <v>29</v>
      </c>
      <c r="G117" s="2">
        <v>5</v>
      </c>
      <c r="H117" s="2">
        <v>71</v>
      </c>
      <c r="I117" s="2">
        <v>355</v>
      </c>
      <c r="J117" s="2">
        <v>362</v>
      </c>
      <c r="K117" s="2" t="s">
        <v>15</v>
      </c>
      <c r="L117" s="19">
        <f>SalesData!I117/SalesData!J117</f>
        <v>0.98066298342541436</v>
      </c>
    </row>
    <row r="118" spans="1:12" x14ac:dyDescent="0.25">
      <c r="A118" s="2">
        <v>1117</v>
      </c>
      <c r="B118" s="3">
        <v>45851</v>
      </c>
      <c r="C118" s="2" t="s">
        <v>16</v>
      </c>
      <c r="D118" s="2" t="s">
        <v>12</v>
      </c>
      <c r="E118" s="2" t="s">
        <v>13</v>
      </c>
      <c r="F118" s="2" t="s">
        <v>29</v>
      </c>
      <c r="G118" s="2">
        <v>2</v>
      </c>
      <c r="H118" s="2">
        <v>66</v>
      </c>
      <c r="I118" s="2">
        <v>132</v>
      </c>
      <c r="J118" s="2">
        <v>161</v>
      </c>
      <c r="K118" s="2" t="s">
        <v>15</v>
      </c>
      <c r="L118" s="19">
        <f>SalesData!I118/SalesData!J118</f>
        <v>0.81987577639751552</v>
      </c>
    </row>
    <row r="119" spans="1:12" x14ac:dyDescent="0.25">
      <c r="A119" s="2">
        <v>1118</v>
      </c>
      <c r="B119" s="3">
        <v>45758</v>
      </c>
      <c r="C119" s="2" t="s">
        <v>11</v>
      </c>
      <c r="D119" s="2" t="s">
        <v>23</v>
      </c>
      <c r="E119" s="2" t="s">
        <v>35</v>
      </c>
      <c r="F119" s="2" t="s">
        <v>29</v>
      </c>
      <c r="G119" s="2">
        <v>6</v>
      </c>
      <c r="H119" s="2">
        <v>215</v>
      </c>
      <c r="I119" s="2">
        <v>1290</v>
      </c>
      <c r="J119" s="2">
        <v>1270</v>
      </c>
      <c r="K119" s="2" t="s">
        <v>20</v>
      </c>
      <c r="L119" s="19">
        <f>SalesData!I119/SalesData!J119</f>
        <v>1.015748031496063</v>
      </c>
    </row>
    <row r="120" spans="1:12" x14ac:dyDescent="0.25">
      <c r="A120" s="2">
        <v>1119</v>
      </c>
      <c r="B120" s="3">
        <v>45828</v>
      </c>
      <c r="C120" s="2" t="s">
        <v>16</v>
      </c>
      <c r="D120" s="2" t="s">
        <v>17</v>
      </c>
      <c r="E120" s="2" t="s">
        <v>18</v>
      </c>
      <c r="F120" s="2" t="s">
        <v>14</v>
      </c>
      <c r="G120" s="2">
        <v>3</v>
      </c>
      <c r="H120" s="2">
        <v>319</v>
      </c>
      <c r="I120" s="2">
        <v>957</v>
      </c>
      <c r="J120" s="2">
        <v>1067</v>
      </c>
      <c r="K120" s="2" t="s">
        <v>20</v>
      </c>
      <c r="L120" s="19">
        <f>SalesData!I120/SalesData!J120</f>
        <v>0.89690721649484539</v>
      </c>
    </row>
    <row r="121" spans="1:12" x14ac:dyDescent="0.25">
      <c r="A121" s="2">
        <v>1120</v>
      </c>
      <c r="B121" s="3">
        <v>45684</v>
      </c>
      <c r="C121" s="2" t="s">
        <v>25</v>
      </c>
      <c r="D121" s="2" t="s">
        <v>17</v>
      </c>
      <c r="E121" s="2" t="s">
        <v>18</v>
      </c>
      <c r="F121" s="2" t="s">
        <v>22</v>
      </c>
      <c r="G121" s="2">
        <v>7</v>
      </c>
      <c r="H121" s="2">
        <v>465</v>
      </c>
      <c r="I121" s="2">
        <v>3255</v>
      </c>
      <c r="J121" s="2">
        <v>4140</v>
      </c>
      <c r="K121" s="2" t="s">
        <v>20</v>
      </c>
      <c r="L121" s="19">
        <f>SalesData!I121/SalesData!J121</f>
        <v>0.78623188405797106</v>
      </c>
    </row>
    <row r="122" spans="1:12" x14ac:dyDescent="0.25">
      <c r="A122" s="2">
        <v>1121</v>
      </c>
      <c r="B122" s="3">
        <v>45822</v>
      </c>
      <c r="C122" s="2" t="s">
        <v>28</v>
      </c>
      <c r="D122" s="2" t="s">
        <v>17</v>
      </c>
      <c r="E122" s="2" t="s">
        <v>30</v>
      </c>
      <c r="F122" s="2" t="s">
        <v>31</v>
      </c>
      <c r="G122" s="2">
        <v>2</v>
      </c>
      <c r="H122" s="2">
        <v>55</v>
      </c>
      <c r="I122" s="2">
        <v>110</v>
      </c>
      <c r="J122" s="2">
        <v>110</v>
      </c>
      <c r="K122" s="2" t="s">
        <v>20</v>
      </c>
      <c r="L122" s="19">
        <f>SalesData!I122/SalesData!J122</f>
        <v>1</v>
      </c>
    </row>
    <row r="123" spans="1:12" x14ac:dyDescent="0.25">
      <c r="A123" s="2">
        <v>1122</v>
      </c>
      <c r="B123" s="3">
        <v>45918</v>
      </c>
      <c r="C123" s="2" t="s">
        <v>25</v>
      </c>
      <c r="D123" s="2" t="s">
        <v>12</v>
      </c>
      <c r="E123" s="2" t="s">
        <v>13</v>
      </c>
      <c r="F123" s="2" t="s">
        <v>14</v>
      </c>
      <c r="G123" s="2">
        <v>3</v>
      </c>
      <c r="H123" s="2">
        <v>211</v>
      </c>
      <c r="I123" s="2">
        <v>633</v>
      </c>
      <c r="J123" s="2">
        <v>637</v>
      </c>
      <c r="K123" s="2" t="s">
        <v>15</v>
      </c>
      <c r="L123" s="19">
        <f>SalesData!I123/SalesData!J123</f>
        <v>0.99372056514913654</v>
      </c>
    </row>
    <row r="124" spans="1:12" x14ac:dyDescent="0.25">
      <c r="A124" s="2">
        <v>1123</v>
      </c>
      <c r="B124" s="3">
        <v>45892</v>
      </c>
      <c r="C124" s="2" t="s">
        <v>25</v>
      </c>
      <c r="D124" s="2" t="s">
        <v>12</v>
      </c>
      <c r="E124" s="2" t="s">
        <v>13</v>
      </c>
      <c r="F124" s="2" t="s">
        <v>32</v>
      </c>
      <c r="G124" s="2">
        <v>6</v>
      </c>
      <c r="H124" s="2">
        <v>426</v>
      </c>
      <c r="I124" s="2">
        <v>2556</v>
      </c>
      <c r="J124" s="2">
        <v>2052</v>
      </c>
      <c r="K124" s="2" t="s">
        <v>20</v>
      </c>
      <c r="L124" s="19">
        <f>SalesData!I124/SalesData!J124</f>
        <v>1.2456140350877194</v>
      </c>
    </row>
    <row r="125" spans="1:12" x14ac:dyDescent="0.25">
      <c r="A125" s="2">
        <v>1124</v>
      </c>
      <c r="B125" s="3">
        <v>45666</v>
      </c>
      <c r="C125" s="2" t="s">
        <v>16</v>
      </c>
      <c r="D125" s="2" t="s">
        <v>17</v>
      </c>
      <c r="E125" s="2" t="s">
        <v>18</v>
      </c>
      <c r="F125" s="2" t="s">
        <v>32</v>
      </c>
      <c r="G125" s="2">
        <v>9</v>
      </c>
      <c r="H125" s="2">
        <v>205</v>
      </c>
      <c r="I125" s="2">
        <v>1845</v>
      </c>
      <c r="J125" s="2">
        <v>2077</v>
      </c>
      <c r="K125" s="2" t="s">
        <v>20</v>
      </c>
      <c r="L125" s="19">
        <f>SalesData!I125/SalesData!J125</f>
        <v>0.88830043331728459</v>
      </c>
    </row>
    <row r="126" spans="1:12" x14ac:dyDescent="0.25">
      <c r="A126" s="2">
        <v>1125</v>
      </c>
      <c r="B126" s="3">
        <v>45819</v>
      </c>
      <c r="C126" s="2" t="s">
        <v>16</v>
      </c>
      <c r="D126" s="2" t="s">
        <v>17</v>
      </c>
      <c r="E126" s="2" t="s">
        <v>18</v>
      </c>
      <c r="F126" s="2" t="s">
        <v>22</v>
      </c>
      <c r="G126" s="2">
        <v>7</v>
      </c>
      <c r="H126" s="2">
        <v>225</v>
      </c>
      <c r="I126" s="2">
        <v>1575</v>
      </c>
      <c r="J126" s="2">
        <v>1783</v>
      </c>
      <c r="K126" s="2" t="s">
        <v>15</v>
      </c>
      <c r="L126" s="19">
        <f>SalesData!I126/SalesData!J126</f>
        <v>0.88334268087492984</v>
      </c>
    </row>
    <row r="127" spans="1:12" x14ac:dyDescent="0.25">
      <c r="A127" s="2">
        <v>1126</v>
      </c>
      <c r="B127" s="3">
        <v>45854</v>
      </c>
      <c r="C127" s="2" t="s">
        <v>28</v>
      </c>
      <c r="D127" s="2" t="s">
        <v>23</v>
      </c>
      <c r="E127" s="2" t="s">
        <v>35</v>
      </c>
      <c r="F127" s="2" t="s">
        <v>14</v>
      </c>
      <c r="G127" s="2">
        <v>7</v>
      </c>
      <c r="H127" s="2">
        <v>307</v>
      </c>
      <c r="I127" s="2">
        <v>2149</v>
      </c>
      <c r="J127" s="2">
        <v>2038</v>
      </c>
      <c r="K127" s="2" t="s">
        <v>15</v>
      </c>
      <c r="L127" s="19">
        <f>SalesData!I127/SalesData!J127</f>
        <v>1.0544651619234544</v>
      </c>
    </row>
    <row r="128" spans="1:12" x14ac:dyDescent="0.25">
      <c r="A128" s="2">
        <v>1127</v>
      </c>
      <c r="B128" s="3">
        <v>45878</v>
      </c>
      <c r="C128" s="2" t="s">
        <v>28</v>
      </c>
      <c r="D128" s="2" t="s">
        <v>17</v>
      </c>
      <c r="E128" s="2" t="s">
        <v>27</v>
      </c>
      <c r="F128" s="2" t="s">
        <v>19</v>
      </c>
      <c r="G128" s="2">
        <v>10</v>
      </c>
      <c r="H128" s="2">
        <v>415</v>
      </c>
      <c r="I128" s="2">
        <v>4150</v>
      </c>
      <c r="J128" s="2">
        <v>3937</v>
      </c>
      <c r="K128" s="2" t="s">
        <v>20</v>
      </c>
      <c r="L128" s="19">
        <f>SalesData!I128/SalesData!J128</f>
        <v>1.0541021082042163</v>
      </c>
    </row>
    <row r="129" spans="1:12" x14ac:dyDescent="0.25">
      <c r="A129" s="2">
        <v>1128</v>
      </c>
      <c r="B129" s="3">
        <v>45677</v>
      </c>
      <c r="C129" s="2" t="s">
        <v>16</v>
      </c>
      <c r="D129" s="2" t="s">
        <v>17</v>
      </c>
      <c r="E129" s="2" t="s">
        <v>27</v>
      </c>
      <c r="F129" s="2" t="s">
        <v>29</v>
      </c>
      <c r="G129" s="2">
        <v>1</v>
      </c>
      <c r="H129" s="2">
        <v>421</v>
      </c>
      <c r="I129" s="2">
        <v>421</v>
      </c>
      <c r="J129" s="2">
        <v>494</v>
      </c>
      <c r="K129" s="2" t="s">
        <v>20</v>
      </c>
      <c r="L129" s="19">
        <f>SalesData!I129/SalesData!J129</f>
        <v>0.85222672064777327</v>
      </c>
    </row>
    <row r="130" spans="1:12" x14ac:dyDescent="0.25">
      <c r="A130" s="2">
        <v>1129</v>
      </c>
      <c r="B130" s="3">
        <v>45784</v>
      </c>
      <c r="C130" s="2" t="s">
        <v>16</v>
      </c>
      <c r="D130" s="2" t="s">
        <v>17</v>
      </c>
      <c r="E130" s="2" t="s">
        <v>18</v>
      </c>
      <c r="F130" s="2" t="s">
        <v>22</v>
      </c>
      <c r="G130" s="2">
        <v>10</v>
      </c>
      <c r="H130" s="2">
        <v>452</v>
      </c>
      <c r="I130" s="2">
        <v>4520</v>
      </c>
      <c r="J130" s="2">
        <v>5201</v>
      </c>
      <c r="K130" s="2" t="s">
        <v>15</v>
      </c>
      <c r="L130" s="19">
        <f>SalesData!I130/SalesData!J130</f>
        <v>0.86906364160738314</v>
      </c>
    </row>
    <row r="131" spans="1:12" x14ac:dyDescent="0.25">
      <c r="A131" s="2">
        <v>1130</v>
      </c>
      <c r="B131" s="3">
        <v>45866</v>
      </c>
      <c r="C131" s="2" t="s">
        <v>28</v>
      </c>
      <c r="D131" s="2" t="s">
        <v>17</v>
      </c>
      <c r="E131" s="2" t="s">
        <v>30</v>
      </c>
      <c r="F131" s="2" t="s">
        <v>19</v>
      </c>
      <c r="G131" s="2">
        <v>7</v>
      </c>
      <c r="H131" s="2">
        <v>280</v>
      </c>
      <c r="I131" s="2">
        <v>1960</v>
      </c>
      <c r="J131" s="2">
        <v>2237</v>
      </c>
      <c r="K131" s="2" t="s">
        <v>15</v>
      </c>
      <c r="L131" s="19">
        <f>SalesData!I131/SalesData!J131</f>
        <v>0.87617344658024143</v>
      </c>
    </row>
    <row r="132" spans="1:12" x14ac:dyDescent="0.25">
      <c r="A132" s="2">
        <v>1131</v>
      </c>
      <c r="B132" s="3">
        <v>46007</v>
      </c>
      <c r="C132" s="2" t="s">
        <v>16</v>
      </c>
      <c r="D132" s="2" t="s">
        <v>12</v>
      </c>
      <c r="E132" s="2" t="s">
        <v>33</v>
      </c>
      <c r="F132" s="2" t="s">
        <v>29</v>
      </c>
      <c r="G132" s="2">
        <v>5</v>
      </c>
      <c r="H132" s="2">
        <v>72</v>
      </c>
      <c r="I132" s="2">
        <v>360</v>
      </c>
      <c r="J132" s="2">
        <v>338</v>
      </c>
      <c r="K132" s="2" t="s">
        <v>20</v>
      </c>
      <c r="L132" s="19">
        <f>SalesData!I132/SalesData!J132</f>
        <v>1.0650887573964498</v>
      </c>
    </row>
    <row r="133" spans="1:12" x14ac:dyDescent="0.25">
      <c r="A133" s="2">
        <v>1132</v>
      </c>
      <c r="B133" s="3">
        <v>45850</v>
      </c>
      <c r="C133" s="2" t="s">
        <v>16</v>
      </c>
      <c r="D133" s="2" t="s">
        <v>23</v>
      </c>
      <c r="E133" s="2" t="s">
        <v>26</v>
      </c>
      <c r="F133" s="2" t="s">
        <v>14</v>
      </c>
      <c r="G133" s="2">
        <v>7</v>
      </c>
      <c r="H133" s="2">
        <v>498</v>
      </c>
      <c r="I133" s="2">
        <v>3486</v>
      </c>
      <c r="J133" s="2">
        <v>4249</v>
      </c>
      <c r="K133" s="2" t="s">
        <v>20</v>
      </c>
      <c r="L133" s="19">
        <f>SalesData!I133/SalesData!J133</f>
        <v>0.82042833607907739</v>
      </c>
    </row>
    <row r="134" spans="1:12" x14ac:dyDescent="0.25">
      <c r="A134" s="2">
        <v>1133</v>
      </c>
      <c r="B134" s="3">
        <v>45921</v>
      </c>
      <c r="C134" s="2" t="s">
        <v>16</v>
      </c>
      <c r="D134" s="2" t="s">
        <v>12</v>
      </c>
      <c r="E134" s="2" t="s">
        <v>21</v>
      </c>
      <c r="F134" s="2" t="s">
        <v>29</v>
      </c>
      <c r="G134" s="2">
        <v>3</v>
      </c>
      <c r="H134" s="2">
        <v>276</v>
      </c>
      <c r="I134" s="2">
        <v>828</v>
      </c>
      <c r="J134" s="2">
        <v>1072</v>
      </c>
      <c r="K134" s="2" t="s">
        <v>15</v>
      </c>
      <c r="L134" s="19">
        <f>SalesData!I134/SalesData!J134</f>
        <v>0.77238805970149249</v>
      </c>
    </row>
    <row r="135" spans="1:12" x14ac:dyDescent="0.25">
      <c r="A135" s="2">
        <v>1134</v>
      </c>
      <c r="B135" s="3">
        <v>46016</v>
      </c>
      <c r="C135" s="2" t="s">
        <v>25</v>
      </c>
      <c r="D135" s="2" t="s">
        <v>12</v>
      </c>
      <c r="E135" s="2" t="s">
        <v>34</v>
      </c>
      <c r="F135" s="2" t="s">
        <v>32</v>
      </c>
      <c r="G135" s="2">
        <v>1</v>
      </c>
      <c r="H135" s="2">
        <v>357</v>
      </c>
      <c r="I135" s="2">
        <v>357</v>
      </c>
      <c r="J135" s="2">
        <v>334</v>
      </c>
      <c r="K135" s="2" t="s">
        <v>20</v>
      </c>
      <c r="L135" s="19">
        <f>SalesData!I135/SalesData!J135</f>
        <v>1.0688622754491017</v>
      </c>
    </row>
    <row r="136" spans="1:12" x14ac:dyDescent="0.25">
      <c r="A136" s="2">
        <v>1135</v>
      </c>
      <c r="B136" s="3">
        <v>46020</v>
      </c>
      <c r="C136" s="2" t="s">
        <v>11</v>
      </c>
      <c r="D136" s="2" t="s">
        <v>23</v>
      </c>
      <c r="E136" s="2" t="s">
        <v>26</v>
      </c>
      <c r="F136" s="2" t="s">
        <v>19</v>
      </c>
      <c r="G136" s="2">
        <v>3</v>
      </c>
      <c r="H136" s="2">
        <v>376</v>
      </c>
      <c r="I136" s="2">
        <v>1128</v>
      </c>
      <c r="J136" s="2">
        <v>1189</v>
      </c>
      <c r="K136" s="2" t="s">
        <v>20</v>
      </c>
      <c r="L136" s="19">
        <f>SalesData!I136/SalesData!J136</f>
        <v>0.94869638351555929</v>
      </c>
    </row>
    <row r="137" spans="1:12" x14ac:dyDescent="0.25">
      <c r="A137" s="2">
        <v>1136</v>
      </c>
      <c r="B137" s="3">
        <v>45856</v>
      </c>
      <c r="C137" s="2" t="s">
        <v>28</v>
      </c>
      <c r="D137" s="2" t="s">
        <v>17</v>
      </c>
      <c r="E137" s="2" t="s">
        <v>27</v>
      </c>
      <c r="F137" s="2" t="s">
        <v>19</v>
      </c>
      <c r="G137" s="2">
        <v>8</v>
      </c>
      <c r="H137" s="2">
        <v>440</v>
      </c>
      <c r="I137" s="2">
        <v>3520</v>
      </c>
      <c r="J137" s="2">
        <v>3393</v>
      </c>
      <c r="K137" s="2" t="s">
        <v>15</v>
      </c>
      <c r="L137" s="19">
        <f>SalesData!I137/SalesData!J137</f>
        <v>1.0374300029472443</v>
      </c>
    </row>
    <row r="138" spans="1:12" x14ac:dyDescent="0.25">
      <c r="A138" s="2">
        <v>1137</v>
      </c>
      <c r="B138" s="3">
        <v>45918</v>
      </c>
      <c r="C138" s="2" t="s">
        <v>11</v>
      </c>
      <c r="D138" s="2" t="s">
        <v>17</v>
      </c>
      <c r="E138" s="2" t="s">
        <v>30</v>
      </c>
      <c r="F138" s="2" t="s">
        <v>31</v>
      </c>
      <c r="G138" s="2">
        <v>7</v>
      </c>
      <c r="H138" s="2">
        <v>88</v>
      </c>
      <c r="I138" s="2">
        <v>616</v>
      </c>
      <c r="J138" s="2">
        <v>506</v>
      </c>
      <c r="K138" s="2" t="s">
        <v>20</v>
      </c>
      <c r="L138" s="19">
        <f>SalesData!I138/SalesData!J138</f>
        <v>1.2173913043478262</v>
      </c>
    </row>
    <row r="139" spans="1:12" x14ac:dyDescent="0.25">
      <c r="A139" s="2">
        <v>1138</v>
      </c>
      <c r="B139" s="3">
        <v>45684</v>
      </c>
      <c r="C139" s="2" t="s">
        <v>16</v>
      </c>
      <c r="D139" s="2" t="s">
        <v>23</v>
      </c>
      <c r="E139" s="2" t="s">
        <v>24</v>
      </c>
      <c r="F139" s="2" t="s">
        <v>32</v>
      </c>
      <c r="G139" s="2">
        <v>9</v>
      </c>
      <c r="H139" s="2">
        <v>252</v>
      </c>
      <c r="I139" s="2">
        <v>2268</v>
      </c>
      <c r="J139" s="2">
        <v>2447</v>
      </c>
      <c r="K139" s="2" t="s">
        <v>15</v>
      </c>
      <c r="L139" s="19">
        <f>SalesData!I139/SalesData!J139</f>
        <v>0.92684920310584384</v>
      </c>
    </row>
    <row r="140" spans="1:12" x14ac:dyDescent="0.25">
      <c r="A140" s="2">
        <v>1139</v>
      </c>
      <c r="B140" s="3">
        <v>45733</v>
      </c>
      <c r="C140" s="2" t="s">
        <v>25</v>
      </c>
      <c r="D140" s="2" t="s">
        <v>12</v>
      </c>
      <c r="E140" s="2" t="s">
        <v>21</v>
      </c>
      <c r="F140" s="2" t="s">
        <v>29</v>
      </c>
      <c r="G140" s="2">
        <v>3</v>
      </c>
      <c r="H140" s="2">
        <v>61</v>
      </c>
      <c r="I140" s="2">
        <v>183</v>
      </c>
      <c r="J140" s="2">
        <v>198</v>
      </c>
      <c r="K140" s="2" t="s">
        <v>20</v>
      </c>
      <c r="L140" s="19">
        <f>SalesData!I140/SalesData!J140</f>
        <v>0.9242424242424242</v>
      </c>
    </row>
    <row r="141" spans="1:12" x14ac:dyDescent="0.25">
      <c r="A141" s="2">
        <v>1140</v>
      </c>
      <c r="B141" s="3">
        <v>45789</v>
      </c>
      <c r="C141" s="2" t="s">
        <v>16</v>
      </c>
      <c r="D141" s="2" t="s">
        <v>23</v>
      </c>
      <c r="E141" s="2" t="s">
        <v>26</v>
      </c>
      <c r="F141" s="2" t="s">
        <v>29</v>
      </c>
      <c r="G141" s="2">
        <v>1</v>
      </c>
      <c r="H141" s="2">
        <v>30</v>
      </c>
      <c r="I141" s="2">
        <v>30</v>
      </c>
      <c r="J141" s="2">
        <v>30</v>
      </c>
      <c r="K141" s="2" t="s">
        <v>15</v>
      </c>
      <c r="L141" s="19">
        <f>SalesData!I141/SalesData!J141</f>
        <v>1</v>
      </c>
    </row>
    <row r="142" spans="1:12" x14ac:dyDescent="0.25">
      <c r="A142" s="2">
        <v>1141</v>
      </c>
      <c r="B142" s="3">
        <v>45712</v>
      </c>
      <c r="C142" s="2" t="s">
        <v>11</v>
      </c>
      <c r="D142" s="2" t="s">
        <v>12</v>
      </c>
      <c r="E142" s="2" t="s">
        <v>34</v>
      </c>
      <c r="F142" s="2" t="s">
        <v>32</v>
      </c>
      <c r="G142" s="2">
        <v>3</v>
      </c>
      <c r="H142" s="2">
        <v>483</v>
      </c>
      <c r="I142" s="2">
        <v>1449</v>
      </c>
      <c r="J142" s="2">
        <v>1758</v>
      </c>
      <c r="K142" s="2" t="s">
        <v>15</v>
      </c>
      <c r="L142" s="19">
        <f>SalesData!I142/SalesData!J142</f>
        <v>0.82423208191126285</v>
      </c>
    </row>
    <row r="143" spans="1:12" x14ac:dyDescent="0.25">
      <c r="A143" s="2">
        <v>1142</v>
      </c>
      <c r="B143" s="3">
        <v>46019</v>
      </c>
      <c r="C143" s="2" t="s">
        <v>28</v>
      </c>
      <c r="D143" s="2" t="s">
        <v>12</v>
      </c>
      <c r="E143" s="2" t="s">
        <v>34</v>
      </c>
      <c r="F143" s="2" t="s">
        <v>22</v>
      </c>
      <c r="G143" s="2">
        <v>5</v>
      </c>
      <c r="H143" s="2">
        <v>442</v>
      </c>
      <c r="I143" s="2">
        <v>2210</v>
      </c>
      <c r="J143" s="2">
        <v>2423</v>
      </c>
      <c r="K143" s="2" t="s">
        <v>20</v>
      </c>
      <c r="L143" s="19">
        <f>SalesData!I143/SalesData!J143</f>
        <v>0.91209244737928186</v>
      </c>
    </row>
    <row r="144" spans="1:12" x14ac:dyDescent="0.25">
      <c r="A144" s="2">
        <v>1143</v>
      </c>
      <c r="B144" s="3">
        <v>45728</v>
      </c>
      <c r="C144" s="2" t="s">
        <v>16</v>
      </c>
      <c r="D144" s="2" t="s">
        <v>12</v>
      </c>
      <c r="E144" s="2" t="s">
        <v>34</v>
      </c>
      <c r="F144" s="2" t="s">
        <v>22</v>
      </c>
      <c r="G144" s="2">
        <v>2</v>
      </c>
      <c r="H144" s="2">
        <v>360</v>
      </c>
      <c r="I144" s="2">
        <v>720</v>
      </c>
      <c r="J144" s="2">
        <v>763</v>
      </c>
      <c r="K144" s="2" t="s">
        <v>15</v>
      </c>
      <c r="L144" s="19">
        <f>SalesData!I144/SalesData!J144</f>
        <v>0.94364351245085187</v>
      </c>
    </row>
    <row r="145" spans="1:12" x14ac:dyDescent="0.25">
      <c r="A145" s="2">
        <v>1144</v>
      </c>
      <c r="B145" s="3">
        <v>45695</v>
      </c>
      <c r="C145" s="2" t="s">
        <v>16</v>
      </c>
      <c r="D145" s="2" t="s">
        <v>23</v>
      </c>
      <c r="E145" s="2" t="s">
        <v>26</v>
      </c>
      <c r="F145" s="2" t="s">
        <v>14</v>
      </c>
      <c r="G145" s="2">
        <v>2</v>
      </c>
      <c r="H145" s="2">
        <v>496</v>
      </c>
      <c r="I145" s="2">
        <v>992</v>
      </c>
      <c r="J145" s="2">
        <v>862</v>
      </c>
      <c r="K145" s="2" t="s">
        <v>20</v>
      </c>
      <c r="L145" s="19">
        <f>SalesData!I145/SalesData!J145</f>
        <v>1.1508120649651972</v>
      </c>
    </row>
    <row r="146" spans="1:12" x14ac:dyDescent="0.25">
      <c r="A146" s="2">
        <v>1145</v>
      </c>
      <c r="B146" s="3">
        <v>45819</v>
      </c>
      <c r="C146" s="2" t="s">
        <v>16</v>
      </c>
      <c r="D146" s="2" t="s">
        <v>17</v>
      </c>
      <c r="E146" s="2" t="s">
        <v>18</v>
      </c>
      <c r="F146" s="2" t="s">
        <v>32</v>
      </c>
      <c r="G146" s="2">
        <v>1</v>
      </c>
      <c r="H146" s="2">
        <v>164</v>
      </c>
      <c r="I146" s="2">
        <v>164</v>
      </c>
      <c r="J146" s="2">
        <v>186</v>
      </c>
      <c r="K146" s="2" t="s">
        <v>15</v>
      </c>
      <c r="L146" s="19">
        <f>SalesData!I146/SalesData!J146</f>
        <v>0.88172043010752688</v>
      </c>
    </row>
    <row r="147" spans="1:12" x14ac:dyDescent="0.25">
      <c r="A147" s="2">
        <v>1146</v>
      </c>
      <c r="B147" s="3">
        <v>46020</v>
      </c>
      <c r="C147" s="2" t="s">
        <v>28</v>
      </c>
      <c r="D147" s="2" t="s">
        <v>23</v>
      </c>
      <c r="E147" s="2" t="s">
        <v>35</v>
      </c>
      <c r="F147" s="2" t="s">
        <v>31</v>
      </c>
      <c r="G147" s="2">
        <v>5</v>
      </c>
      <c r="H147" s="2">
        <v>298</v>
      </c>
      <c r="I147" s="2">
        <v>1490</v>
      </c>
      <c r="J147" s="2">
        <v>1256</v>
      </c>
      <c r="K147" s="2" t="s">
        <v>20</v>
      </c>
      <c r="L147" s="19">
        <f>SalesData!I147/SalesData!J147</f>
        <v>1.1863057324840764</v>
      </c>
    </row>
    <row r="148" spans="1:12" x14ac:dyDescent="0.25">
      <c r="A148" s="2">
        <v>1147</v>
      </c>
      <c r="B148" s="3">
        <v>45894</v>
      </c>
      <c r="C148" s="2" t="s">
        <v>25</v>
      </c>
      <c r="D148" s="2" t="s">
        <v>17</v>
      </c>
      <c r="E148" s="2" t="s">
        <v>27</v>
      </c>
      <c r="F148" s="2" t="s">
        <v>31</v>
      </c>
      <c r="G148" s="2">
        <v>8</v>
      </c>
      <c r="H148" s="2">
        <v>485</v>
      </c>
      <c r="I148" s="2">
        <v>3880</v>
      </c>
      <c r="J148" s="2">
        <v>4060</v>
      </c>
      <c r="K148" s="2" t="s">
        <v>20</v>
      </c>
      <c r="L148" s="19">
        <f>SalesData!I148/SalesData!J148</f>
        <v>0.95566502463054193</v>
      </c>
    </row>
    <row r="149" spans="1:12" x14ac:dyDescent="0.25">
      <c r="A149" s="2">
        <v>1148</v>
      </c>
      <c r="B149" s="3">
        <v>45994</v>
      </c>
      <c r="C149" s="2" t="s">
        <v>25</v>
      </c>
      <c r="D149" s="2" t="s">
        <v>17</v>
      </c>
      <c r="E149" s="2" t="s">
        <v>27</v>
      </c>
      <c r="F149" s="2" t="s">
        <v>22</v>
      </c>
      <c r="G149" s="2">
        <v>6</v>
      </c>
      <c r="H149" s="2">
        <v>32</v>
      </c>
      <c r="I149" s="2">
        <v>192</v>
      </c>
      <c r="J149" s="2">
        <v>221</v>
      </c>
      <c r="K149" s="2" t="s">
        <v>15</v>
      </c>
      <c r="L149" s="19">
        <f>SalesData!I149/SalesData!J149</f>
        <v>0.86877828054298645</v>
      </c>
    </row>
    <row r="150" spans="1:12" x14ac:dyDescent="0.25">
      <c r="A150" s="2">
        <v>1149</v>
      </c>
      <c r="B150" s="3">
        <v>45835</v>
      </c>
      <c r="C150" s="2" t="s">
        <v>28</v>
      </c>
      <c r="D150" s="2" t="s">
        <v>12</v>
      </c>
      <c r="E150" s="2" t="s">
        <v>34</v>
      </c>
      <c r="F150" s="2" t="s">
        <v>29</v>
      </c>
      <c r="G150" s="2">
        <v>6</v>
      </c>
      <c r="H150" s="2">
        <v>453</v>
      </c>
      <c r="I150" s="2">
        <v>2718</v>
      </c>
      <c r="J150" s="2">
        <v>3194</v>
      </c>
      <c r="K150" s="2" t="s">
        <v>15</v>
      </c>
      <c r="L150" s="19">
        <f>SalesData!I150/SalesData!J150</f>
        <v>0.85097056981840957</v>
      </c>
    </row>
    <row r="151" spans="1:12" x14ac:dyDescent="0.25">
      <c r="A151" s="2">
        <v>1150</v>
      </c>
      <c r="B151" s="3">
        <v>45789</v>
      </c>
      <c r="C151" s="2" t="s">
        <v>25</v>
      </c>
      <c r="D151" s="2" t="s">
        <v>17</v>
      </c>
      <c r="E151" s="2" t="s">
        <v>27</v>
      </c>
      <c r="F151" s="2" t="s">
        <v>32</v>
      </c>
      <c r="G151" s="2">
        <v>5</v>
      </c>
      <c r="H151" s="2">
        <v>208</v>
      </c>
      <c r="I151" s="2">
        <v>1040</v>
      </c>
      <c r="J151" s="2">
        <v>1259</v>
      </c>
      <c r="K151" s="2" t="s">
        <v>15</v>
      </c>
      <c r="L151" s="19">
        <f>SalesData!I151/SalesData!J151</f>
        <v>0.82605242255758538</v>
      </c>
    </row>
    <row r="152" spans="1:12" x14ac:dyDescent="0.25">
      <c r="A152" s="2">
        <v>1151</v>
      </c>
      <c r="B152" s="3">
        <v>46018</v>
      </c>
      <c r="C152" s="2" t="s">
        <v>11</v>
      </c>
      <c r="D152" s="2" t="s">
        <v>23</v>
      </c>
      <c r="E152" s="2" t="s">
        <v>24</v>
      </c>
      <c r="F152" s="2" t="s">
        <v>22</v>
      </c>
      <c r="G152" s="2">
        <v>7</v>
      </c>
      <c r="H152" s="2">
        <v>93</v>
      </c>
      <c r="I152" s="2">
        <v>651</v>
      </c>
      <c r="J152" s="2">
        <v>813</v>
      </c>
      <c r="K152" s="2" t="s">
        <v>15</v>
      </c>
      <c r="L152" s="19">
        <f>SalesData!I152/SalesData!J152</f>
        <v>0.80073800738007384</v>
      </c>
    </row>
    <row r="153" spans="1:12" x14ac:dyDescent="0.25">
      <c r="A153" s="2">
        <v>1152</v>
      </c>
      <c r="B153" s="3">
        <v>45818</v>
      </c>
      <c r="C153" s="2" t="s">
        <v>16</v>
      </c>
      <c r="D153" s="2" t="s">
        <v>12</v>
      </c>
      <c r="E153" s="2" t="s">
        <v>33</v>
      </c>
      <c r="F153" s="2" t="s">
        <v>19</v>
      </c>
      <c r="G153" s="2">
        <v>7</v>
      </c>
      <c r="H153" s="2">
        <v>316</v>
      </c>
      <c r="I153" s="2">
        <v>2212</v>
      </c>
      <c r="J153" s="2">
        <v>2254</v>
      </c>
      <c r="K153" s="2" t="s">
        <v>20</v>
      </c>
      <c r="L153" s="19">
        <f>SalesData!I153/SalesData!J153</f>
        <v>0.98136645962732916</v>
      </c>
    </row>
    <row r="154" spans="1:12" x14ac:dyDescent="0.25">
      <c r="A154" s="2">
        <v>1153</v>
      </c>
      <c r="B154" s="3">
        <v>45682</v>
      </c>
      <c r="C154" s="2" t="s">
        <v>16</v>
      </c>
      <c r="D154" s="2" t="s">
        <v>23</v>
      </c>
      <c r="E154" s="2" t="s">
        <v>24</v>
      </c>
      <c r="F154" s="2" t="s">
        <v>14</v>
      </c>
      <c r="G154" s="2">
        <v>3</v>
      </c>
      <c r="H154" s="2">
        <v>197</v>
      </c>
      <c r="I154" s="2">
        <v>591</v>
      </c>
      <c r="J154" s="2">
        <v>489</v>
      </c>
      <c r="K154" s="2" t="s">
        <v>20</v>
      </c>
      <c r="L154" s="19">
        <f>SalesData!I154/SalesData!J154</f>
        <v>1.2085889570552146</v>
      </c>
    </row>
    <row r="155" spans="1:12" x14ac:dyDescent="0.25">
      <c r="A155" s="2">
        <v>1154</v>
      </c>
      <c r="B155" s="3">
        <v>45812</v>
      </c>
      <c r="C155" s="2" t="s">
        <v>16</v>
      </c>
      <c r="D155" s="2" t="s">
        <v>17</v>
      </c>
      <c r="E155" s="2" t="s">
        <v>27</v>
      </c>
      <c r="F155" s="2" t="s">
        <v>32</v>
      </c>
      <c r="G155" s="2">
        <v>7</v>
      </c>
      <c r="H155" s="2">
        <v>495</v>
      </c>
      <c r="I155" s="2">
        <v>3465</v>
      </c>
      <c r="J155" s="2">
        <v>2999</v>
      </c>
      <c r="K155" s="2" t="s">
        <v>20</v>
      </c>
      <c r="L155" s="19">
        <f>SalesData!I155/SalesData!J155</f>
        <v>1.1553851283761254</v>
      </c>
    </row>
    <row r="156" spans="1:12" x14ac:dyDescent="0.25">
      <c r="A156" s="2">
        <v>1155</v>
      </c>
      <c r="B156" s="3">
        <v>45857</v>
      </c>
      <c r="C156" s="2" t="s">
        <v>16</v>
      </c>
      <c r="D156" s="2" t="s">
        <v>17</v>
      </c>
      <c r="E156" s="2" t="s">
        <v>30</v>
      </c>
      <c r="F156" s="2" t="s">
        <v>14</v>
      </c>
      <c r="G156" s="2">
        <v>10</v>
      </c>
      <c r="H156" s="2">
        <v>20</v>
      </c>
      <c r="I156" s="2">
        <v>200</v>
      </c>
      <c r="J156" s="2">
        <v>163</v>
      </c>
      <c r="K156" s="2" t="s">
        <v>15</v>
      </c>
      <c r="L156" s="19">
        <f>SalesData!I156/SalesData!J156</f>
        <v>1.2269938650306749</v>
      </c>
    </row>
    <row r="157" spans="1:12" x14ac:dyDescent="0.25">
      <c r="A157" s="2">
        <v>1156</v>
      </c>
      <c r="B157" s="3">
        <v>45773</v>
      </c>
      <c r="C157" s="2" t="s">
        <v>16</v>
      </c>
      <c r="D157" s="2" t="s">
        <v>12</v>
      </c>
      <c r="E157" s="2" t="s">
        <v>34</v>
      </c>
      <c r="F157" s="2" t="s">
        <v>31</v>
      </c>
      <c r="G157" s="2">
        <v>5</v>
      </c>
      <c r="H157" s="2">
        <v>395</v>
      </c>
      <c r="I157" s="2">
        <v>1975</v>
      </c>
      <c r="J157" s="2">
        <v>2146</v>
      </c>
      <c r="K157" s="2" t="s">
        <v>15</v>
      </c>
      <c r="L157" s="19">
        <f>SalesData!I157/SalesData!J157</f>
        <v>0.92031686859273065</v>
      </c>
    </row>
    <row r="158" spans="1:12" x14ac:dyDescent="0.25">
      <c r="A158" s="2">
        <v>1157</v>
      </c>
      <c r="B158" s="3">
        <v>45896</v>
      </c>
      <c r="C158" s="2" t="s">
        <v>28</v>
      </c>
      <c r="D158" s="2" t="s">
        <v>23</v>
      </c>
      <c r="E158" s="2" t="s">
        <v>35</v>
      </c>
      <c r="F158" s="2" t="s">
        <v>31</v>
      </c>
      <c r="G158" s="2">
        <v>6</v>
      </c>
      <c r="H158" s="2">
        <v>303</v>
      </c>
      <c r="I158" s="2">
        <v>1818</v>
      </c>
      <c r="J158" s="2">
        <v>2169</v>
      </c>
      <c r="K158" s="2" t="s">
        <v>20</v>
      </c>
      <c r="L158" s="19">
        <f>SalesData!I158/SalesData!J158</f>
        <v>0.83817427385892118</v>
      </c>
    </row>
    <row r="159" spans="1:12" x14ac:dyDescent="0.25">
      <c r="A159" s="2">
        <v>1158</v>
      </c>
      <c r="B159" s="3">
        <v>45958</v>
      </c>
      <c r="C159" s="2" t="s">
        <v>16</v>
      </c>
      <c r="D159" s="2" t="s">
        <v>23</v>
      </c>
      <c r="E159" s="2" t="s">
        <v>26</v>
      </c>
      <c r="F159" s="2" t="s">
        <v>29</v>
      </c>
      <c r="G159" s="2">
        <v>3</v>
      </c>
      <c r="H159" s="2">
        <v>407</v>
      </c>
      <c r="I159" s="2">
        <v>1221</v>
      </c>
      <c r="J159" s="2">
        <v>1229</v>
      </c>
      <c r="K159" s="2" t="s">
        <v>20</v>
      </c>
      <c r="L159" s="19">
        <f>SalesData!I159/SalesData!J159</f>
        <v>0.99349064279902355</v>
      </c>
    </row>
    <row r="160" spans="1:12" x14ac:dyDescent="0.25">
      <c r="A160" s="2">
        <v>1159</v>
      </c>
      <c r="B160" s="3">
        <v>45864</v>
      </c>
      <c r="C160" s="2" t="s">
        <v>11</v>
      </c>
      <c r="D160" s="2" t="s">
        <v>17</v>
      </c>
      <c r="E160" s="2" t="s">
        <v>27</v>
      </c>
      <c r="F160" s="2" t="s">
        <v>32</v>
      </c>
      <c r="G160" s="2">
        <v>1</v>
      </c>
      <c r="H160" s="2">
        <v>384</v>
      </c>
      <c r="I160" s="2">
        <v>384</v>
      </c>
      <c r="J160" s="2">
        <v>491</v>
      </c>
      <c r="K160" s="2" t="s">
        <v>20</v>
      </c>
      <c r="L160" s="19">
        <f>SalesData!I160/SalesData!J160</f>
        <v>0.7820773930753564</v>
      </c>
    </row>
    <row r="161" spans="1:12" x14ac:dyDescent="0.25">
      <c r="A161" s="2">
        <v>1160</v>
      </c>
      <c r="B161" s="3">
        <v>45983</v>
      </c>
      <c r="C161" s="2" t="s">
        <v>28</v>
      </c>
      <c r="D161" s="2" t="s">
        <v>17</v>
      </c>
      <c r="E161" s="2" t="s">
        <v>27</v>
      </c>
      <c r="F161" s="2" t="s">
        <v>14</v>
      </c>
      <c r="G161" s="2">
        <v>5</v>
      </c>
      <c r="H161" s="2">
        <v>103</v>
      </c>
      <c r="I161" s="2">
        <v>515</v>
      </c>
      <c r="J161" s="2">
        <v>492</v>
      </c>
      <c r="K161" s="2" t="s">
        <v>15</v>
      </c>
      <c r="L161" s="19">
        <f>SalesData!I161/SalesData!J161</f>
        <v>1.0467479674796747</v>
      </c>
    </row>
    <row r="162" spans="1:12" x14ac:dyDescent="0.25">
      <c r="A162" s="2">
        <v>1161</v>
      </c>
      <c r="B162" s="3">
        <v>45774</v>
      </c>
      <c r="C162" s="2" t="s">
        <v>11</v>
      </c>
      <c r="D162" s="2" t="s">
        <v>17</v>
      </c>
      <c r="E162" s="2" t="s">
        <v>27</v>
      </c>
      <c r="F162" s="2" t="s">
        <v>14</v>
      </c>
      <c r="G162" s="2">
        <v>9</v>
      </c>
      <c r="H162" s="2">
        <v>467</v>
      </c>
      <c r="I162" s="2">
        <v>4203</v>
      </c>
      <c r="J162" s="2">
        <v>4744</v>
      </c>
      <c r="K162" s="2" t="s">
        <v>15</v>
      </c>
      <c r="L162" s="19">
        <f>SalesData!I162/SalesData!J162</f>
        <v>0.88596121416526141</v>
      </c>
    </row>
    <row r="163" spans="1:12" x14ac:dyDescent="0.25">
      <c r="A163" s="2">
        <v>1162</v>
      </c>
      <c r="B163" s="3">
        <v>45698</v>
      </c>
      <c r="C163" s="2" t="s">
        <v>25</v>
      </c>
      <c r="D163" s="2" t="s">
        <v>23</v>
      </c>
      <c r="E163" s="2" t="s">
        <v>24</v>
      </c>
      <c r="F163" s="2" t="s">
        <v>32</v>
      </c>
      <c r="G163" s="2">
        <v>5</v>
      </c>
      <c r="H163" s="2">
        <v>104</v>
      </c>
      <c r="I163" s="2">
        <v>520</v>
      </c>
      <c r="J163" s="2">
        <v>494</v>
      </c>
      <c r="K163" s="2" t="s">
        <v>20</v>
      </c>
      <c r="L163" s="19">
        <f>SalesData!I163/SalesData!J163</f>
        <v>1.0526315789473684</v>
      </c>
    </row>
    <row r="164" spans="1:12" x14ac:dyDescent="0.25">
      <c r="A164" s="2">
        <v>1163</v>
      </c>
      <c r="B164" s="3">
        <v>45781</v>
      </c>
      <c r="C164" s="2" t="s">
        <v>28</v>
      </c>
      <c r="D164" s="2" t="s">
        <v>12</v>
      </c>
      <c r="E164" s="2" t="s">
        <v>13</v>
      </c>
      <c r="F164" s="2" t="s">
        <v>31</v>
      </c>
      <c r="G164" s="2">
        <v>7</v>
      </c>
      <c r="H164" s="2">
        <v>401</v>
      </c>
      <c r="I164" s="2">
        <v>2807</v>
      </c>
      <c r="J164" s="2">
        <v>2796</v>
      </c>
      <c r="K164" s="2" t="s">
        <v>15</v>
      </c>
      <c r="L164" s="19">
        <f>SalesData!I164/SalesData!J164</f>
        <v>1.003934191702432</v>
      </c>
    </row>
    <row r="165" spans="1:12" x14ac:dyDescent="0.25">
      <c r="A165" s="2">
        <v>1164</v>
      </c>
      <c r="B165" s="3">
        <v>45686</v>
      </c>
      <c r="C165" s="2" t="s">
        <v>25</v>
      </c>
      <c r="D165" s="2" t="s">
        <v>17</v>
      </c>
      <c r="E165" s="2" t="s">
        <v>30</v>
      </c>
      <c r="F165" s="2" t="s">
        <v>19</v>
      </c>
      <c r="G165" s="2">
        <v>10</v>
      </c>
      <c r="H165" s="2">
        <v>178</v>
      </c>
      <c r="I165" s="2">
        <v>1780</v>
      </c>
      <c r="J165" s="2">
        <v>1615</v>
      </c>
      <c r="K165" s="2" t="s">
        <v>20</v>
      </c>
      <c r="L165" s="19">
        <f>SalesData!I165/SalesData!J165</f>
        <v>1.1021671826625388</v>
      </c>
    </row>
    <row r="166" spans="1:12" x14ac:dyDescent="0.25">
      <c r="A166" s="2">
        <v>1165</v>
      </c>
      <c r="B166" s="3">
        <v>45758</v>
      </c>
      <c r="C166" s="2" t="s">
        <v>11</v>
      </c>
      <c r="D166" s="2" t="s">
        <v>23</v>
      </c>
      <c r="E166" s="2" t="s">
        <v>26</v>
      </c>
      <c r="F166" s="2" t="s">
        <v>29</v>
      </c>
      <c r="G166" s="2">
        <v>7</v>
      </c>
      <c r="H166" s="2">
        <v>139</v>
      </c>
      <c r="I166" s="2">
        <v>973</v>
      </c>
      <c r="J166" s="2">
        <v>1056</v>
      </c>
      <c r="K166" s="2" t="s">
        <v>15</v>
      </c>
      <c r="L166" s="19">
        <f>SalesData!I166/SalesData!J166</f>
        <v>0.92140151515151514</v>
      </c>
    </row>
    <row r="167" spans="1:12" x14ac:dyDescent="0.25">
      <c r="A167" s="2">
        <v>1166</v>
      </c>
      <c r="B167" s="3">
        <v>45894</v>
      </c>
      <c r="C167" s="2" t="s">
        <v>16</v>
      </c>
      <c r="D167" s="2" t="s">
        <v>17</v>
      </c>
      <c r="E167" s="2" t="s">
        <v>27</v>
      </c>
      <c r="F167" s="2" t="s">
        <v>22</v>
      </c>
      <c r="G167" s="2">
        <v>6</v>
      </c>
      <c r="H167" s="2">
        <v>60</v>
      </c>
      <c r="I167" s="2">
        <v>360</v>
      </c>
      <c r="J167" s="2">
        <v>360</v>
      </c>
      <c r="K167" s="2" t="s">
        <v>15</v>
      </c>
      <c r="L167" s="19">
        <f>SalesData!I167/SalesData!J167</f>
        <v>1</v>
      </c>
    </row>
    <row r="168" spans="1:12" x14ac:dyDescent="0.25">
      <c r="A168" s="2">
        <v>1167</v>
      </c>
      <c r="B168" s="3">
        <v>45742</v>
      </c>
      <c r="C168" s="2" t="s">
        <v>25</v>
      </c>
      <c r="D168" s="2" t="s">
        <v>12</v>
      </c>
      <c r="E168" s="2" t="s">
        <v>21</v>
      </c>
      <c r="F168" s="2" t="s">
        <v>31</v>
      </c>
      <c r="G168" s="2">
        <v>2</v>
      </c>
      <c r="H168" s="2">
        <v>267</v>
      </c>
      <c r="I168" s="2">
        <v>534</v>
      </c>
      <c r="J168" s="2">
        <v>653</v>
      </c>
      <c r="K168" s="2" t="s">
        <v>20</v>
      </c>
      <c r="L168" s="19">
        <f>SalesData!I168/SalesData!J168</f>
        <v>0.81776416539050534</v>
      </c>
    </row>
    <row r="169" spans="1:12" x14ac:dyDescent="0.25">
      <c r="A169" s="2">
        <v>1168</v>
      </c>
      <c r="B169" s="3">
        <v>45841</v>
      </c>
      <c r="C169" s="2" t="s">
        <v>25</v>
      </c>
      <c r="D169" s="2" t="s">
        <v>12</v>
      </c>
      <c r="E169" s="2" t="s">
        <v>13</v>
      </c>
      <c r="F169" s="2" t="s">
        <v>14</v>
      </c>
      <c r="G169" s="2">
        <v>8</v>
      </c>
      <c r="H169" s="2">
        <v>440</v>
      </c>
      <c r="I169" s="2">
        <v>3520</v>
      </c>
      <c r="J169" s="2">
        <v>3898</v>
      </c>
      <c r="K169" s="2" t="s">
        <v>20</v>
      </c>
      <c r="L169" s="19">
        <f>SalesData!I169/SalesData!J169</f>
        <v>0.90302719343252946</v>
      </c>
    </row>
    <row r="170" spans="1:12" x14ac:dyDescent="0.25">
      <c r="A170" s="2">
        <v>1169</v>
      </c>
      <c r="B170" s="3">
        <v>46007</v>
      </c>
      <c r="C170" s="2" t="s">
        <v>16</v>
      </c>
      <c r="D170" s="2" t="s">
        <v>12</v>
      </c>
      <c r="E170" s="2" t="s">
        <v>21</v>
      </c>
      <c r="F170" s="2" t="s">
        <v>32</v>
      </c>
      <c r="G170" s="2">
        <v>8</v>
      </c>
      <c r="H170" s="2">
        <v>19</v>
      </c>
      <c r="I170" s="2">
        <v>152</v>
      </c>
      <c r="J170" s="2">
        <v>133</v>
      </c>
      <c r="K170" s="2" t="s">
        <v>15</v>
      </c>
      <c r="L170" s="19">
        <f>SalesData!I170/SalesData!J170</f>
        <v>1.1428571428571428</v>
      </c>
    </row>
    <row r="171" spans="1:12" x14ac:dyDescent="0.25">
      <c r="A171" s="2">
        <v>1170</v>
      </c>
      <c r="B171" s="3">
        <v>45704</v>
      </c>
      <c r="C171" s="2" t="s">
        <v>25</v>
      </c>
      <c r="D171" s="2" t="s">
        <v>12</v>
      </c>
      <c r="E171" s="2" t="s">
        <v>33</v>
      </c>
      <c r="F171" s="2" t="s">
        <v>22</v>
      </c>
      <c r="G171" s="2">
        <v>4</v>
      </c>
      <c r="H171" s="2">
        <v>120</v>
      </c>
      <c r="I171" s="2">
        <v>480</v>
      </c>
      <c r="J171" s="2">
        <v>579</v>
      </c>
      <c r="K171" s="2" t="s">
        <v>15</v>
      </c>
      <c r="L171" s="19">
        <f>SalesData!I171/SalesData!J171</f>
        <v>0.82901554404145072</v>
      </c>
    </row>
    <row r="172" spans="1:12" x14ac:dyDescent="0.25">
      <c r="A172" s="2">
        <v>1171</v>
      </c>
      <c r="B172" s="3">
        <v>45721</v>
      </c>
      <c r="C172" s="2" t="s">
        <v>25</v>
      </c>
      <c r="D172" s="2" t="s">
        <v>17</v>
      </c>
      <c r="E172" s="2" t="s">
        <v>27</v>
      </c>
      <c r="F172" s="2" t="s">
        <v>19</v>
      </c>
      <c r="G172" s="2">
        <v>6</v>
      </c>
      <c r="H172" s="2">
        <v>229</v>
      </c>
      <c r="I172" s="2">
        <v>1374</v>
      </c>
      <c r="J172" s="2">
        <v>1608</v>
      </c>
      <c r="K172" s="2" t="s">
        <v>20</v>
      </c>
      <c r="L172" s="19">
        <f>SalesData!I172/SalesData!J172</f>
        <v>0.85447761194029848</v>
      </c>
    </row>
    <row r="173" spans="1:12" x14ac:dyDescent="0.25">
      <c r="A173" s="2">
        <v>1172</v>
      </c>
      <c r="B173" s="3">
        <v>45764</v>
      </c>
      <c r="C173" s="2" t="s">
        <v>28</v>
      </c>
      <c r="D173" s="2" t="s">
        <v>23</v>
      </c>
      <c r="E173" s="2" t="s">
        <v>35</v>
      </c>
      <c r="F173" s="2" t="s">
        <v>22</v>
      </c>
      <c r="G173" s="2">
        <v>4</v>
      </c>
      <c r="H173" s="2">
        <v>105</v>
      </c>
      <c r="I173" s="2">
        <v>420</v>
      </c>
      <c r="J173" s="2">
        <v>532</v>
      </c>
      <c r="K173" s="2" t="s">
        <v>20</v>
      </c>
      <c r="L173" s="19">
        <f>SalesData!I173/SalesData!J173</f>
        <v>0.78947368421052633</v>
      </c>
    </row>
    <row r="174" spans="1:12" x14ac:dyDescent="0.25">
      <c r="A174" s="2">
        <v>1173</v>
      </c>
      <c r="B174" s="3">
        <v>45968</v>
      </c>
      <c r="C174" s="2" t="s">
        <v>11</v>
      </c>
      <c r="D174" s="2" t="s">
        <v>12</v>
      </c>
      <c r="E174" s="2" t="s">
        <v>33</v>
      </c>
      <c r="F174" s="2" t="s">
        <v>31</v>
      </c>
      <c r="G174" s="2">
        <v>2</v>
      </c>
      <c r="H174" s="2">
        <v>488</v>
      </c>
      <c r="I174" s="2">
        <v>976</v>
      </c>
      <c r="J174" s="2">
        <v>1219</v>
      </c>
      <c r="K174" s="2" t="s">
        <v>15</v>
      </c>
      <c r="L174" s="19">
        <f>SalesData!I174/SalesData!J174</f>
        <v>0.80065627563576702</v>
      </c>
    </row>
    <row r="175" spans="1:12" x14ac:dyDescent="0.25">
      <c r="A175" s="2">
        <v>1174</v>
      </c>
      <c r="B175" s="3">
        <v>45883</v>
      </c>
      <c r="C175" s="2" t="s">
        <v>25</v>
      </c>
      <c r="D175" s="2" t="s">
        <v>17</v>
      </c>
      <c r="E175" s="2" t="s">
        <v>27</v>
      </c>
      <c r="F175" s="2" t="s">
        <v>29</v>
      </c>
      <c r="G175" s="2">
        <v>10</v>
      </c>
      <c r="H175" s="2">
        <v>137</v>
      </c>
      <c r="I175" s="2">
        <v>1370</v>
      </c>
      <c r="J175" s="2">
        <v>1771</v>
      </c>
      <c r="K175" s="2" t="s">
        <v>20</v>
      </c>
      <c r="L175" s="19">
        <f>SalesData!I175/SalesData!J175</f>
        <v>0.77357425183512141</v>
      </c>
    </row>
    <row r="176" spans="1:12" x14ac:dyDescent="0.25">
      <c r="A176" s="2">
        <v>1175</v>
      </c>
      <c r="B176" s="3">
        <v>45758</v>
      </c>
      <c r="C176" s="2" t="s">
        <v>16</v>
      </c>
      <c r="D176" s="2" t="s">
        <v>12</v>
      </c>
      <c r="E176" s="2" t="s">
        <v>21</v>
      </c>
      <c r="F176" s="2" t="s">
        <v>14</v>
      </c>
      <c r="G176" s="2">
        <v>5</v>
      </c>
      <c r="H176" s="2">
        <v>94</v>
      </c>
      <c r="I176" s="2">
        <v>470</v>
      </c>
      <c r="J176" s="2">
        <v>429</v>
      </c>
      <c r="K176" s="2" t="s">
        <v>15</v>
      </c>
      <c r="L176" s="19">
        <f>SalesData!I176/SalesData!J176</f>
        <v>1.0955710955710956</v>
      </c>
    </row>
    <row r="177" spans="1:12" x14ac:dyDescent="0.25">
      <c r="A177" s="2">
        <v>1176</v>
      </c>
      <c r="B177" s="3">
        <v>45824</v>
      </c>
      <c r="C177" s="2" t="s">
        <v>16</v>
      </c>
      <c r="D177" s="2" t="s">
        <v>12</v>
      </c>
      <c r="E177" s="2" t="s">
        <v>13</v>
      </c>
      <c r="F177" s="2" t="s">
        <v>32</v>
      </c>
      <c r="G177" s="2">
        <v>8</v>
      </c>
      <c r="H177" s="2">
        <v>406</v>
      </c>
      <c r="I177" s="2">
        <v>3248</v>
      </c>
      <c r="J177" s="2">
        <v>3016</v>
      </c>
      <c r="K177" s="2" t="s">
        <v>15</v>
      </c>
      <c r="L177" s="19">
        <f>SalesData!I177/SalesData!J177</f>
        <v>1.0769230769230769</v>
      </c>
    </row>
    <row r="178" spans="1:12" x14ac:dyDescent="0.25">
      <c r="A178" s="2">
        <v>1177</v>
      </c>
      <c r="B178" s="3">
        <v>45973</v>
      </c>
      <c r="C178" s="2" t="s">
        <v>16</v>
      </c>
      <c r="D178" s="2" t="s">
        <v>12</v>
      </c>
      <c r="E178" s="2" t="s">
        <v>21</v>
      </c>
      <c r="F178" s="2" t="s">
        <v>19</v>
      </c>
      <c r="G178" s="2">
        <v>2</v>
      </c>
      <c r="H178" s="2">
        <v>81</v>
      </c>
      <c r="I178" s="2">
        <v>162</v>
      </c>
      <c r="J178" s="2">
        <v>184</v>
      </c>
      <c r="K178" s="2" t="s">
        <v>20</v>
      </c>
      <c r="L178" s="19">
        <f>SalesData!I178/SalesData!J178</f>
        <v>0.88043478260869568</v>
      </c>
    </row>
    <row r="179" spans="1:12" x14ac:dyDescent="0.25">
      <c r="A179" s="2">
        <v>1178</v>
      </c>
      <c r="B179" s="3">
        <v>45848</v>
      </c>
      <c r="C179" s="2" t="s">
        <v>25</v>
      </c>
      <c r="D179" s="2" t="s">
        <v>17</v>
      </c>
      <c r="E179" s="2" t="s">
        <v>18</v>
      </c>
      <c r="F179" s="2" t="s">
        <v>31</v>
      </c>
      <c r="G179" s="2">
        <v>7</v>
      </c>
      <c r="H179" s="2">
        <v>329</v>
      </c>
      <c r="I179" s="2">
        <v>2303</v>
      </c>
      <c r="J179" s="2">
        <v>1858</v>
      </c>
      <c r="K179" s="2" t="s">
        <v>15</v>
      </c>
      <c r="L179" s="19">
        <f>SalesData!I179/SalesData!J179</f>
        <v>1.2395048439181917</v>
      </c>
    </row>
    <row r="180" spans="1:12" x14ac:dyDescent="0.25">
      <c r="A180" s="2">
        <v>1179</v>
      </c>
      <c r="B180" s="3">
        <v>45990</v>
      </c>
      <c r="C180" s="2" t="s">
        <v>25</v>
      </c>
      <c r="D180" s="2" t="s">
        <v>12</v>
      </c>
      <c r="E180" s="2" t="s">
        <v>34</v>
      </c>
      <c r="F180" s="2" t="s">
        <v>32</v>
      </c>
      <c r="G180" s="2">
        <v>1</v>
      </c>
      <c r="H180" s="2">
        <v>112</v>
      </c>
      <c r="I180" s="2">
        <v>112</v>
      </c>
      <c r="J180" s="2">
        <v>90</v>
      </c>
      <c r="K180" s="2" t="s">
        <v>20</v>
      </c>
      <c r="L180" s="19">
        <f>SalesData!I180/SalesData!J180</f>
        <v>1.2444444444444445</v>
      </c>
    </row>
    <row r="181" spans="1:12" x14ac:dyDescent="0.25">
      <c r="A181" s="2">
        <v>1180</v>
      </c>
      <c r="B181" s="3">
        <v>45734</v>
      </c>
      <c r="C181" s="2" t="s">
        <v>16</v>
      </c>
      <c r="D181" s="2" t="s">
        <v>17</v>
      </c>
      <c r="E181" s="2" t="s">
        <v>30</v>
      </c>
      <c r="F181" s="2" t="s">
        <v>29</v>
      </c>
      <c r="G181" s="2">
        <v>8</v>
      </c>
      <c r="H181" s="2">
        <v>432</v>
      </c>
      <c r="I181" s="2">
        <v>3456</v>
      </c>
      <c r="J181" s="2">
        <v>3927</v>
      </c>
      <c r="K181" s="2" t="s">
        <v>15</v>
      </c>
      <c r="L181" s="19">
        <f>SalesData!I181/SalesData!J181</f>
        <v>0.88006111535523301</v>
      </c>
    </row>
    <row r="182" spans="1:12" x14ac:dyDescent="0.25">
      <c r="A182" s="2">
        <v>1181</v>
      </c>
      <c r="B182" s="3">
        <v>45853</v>
      </c>
      <c r="C182" s="2" t="s">
        <v>16</v>
      </c>
      <c r="D182" s="2" t="s">
        <v>17</v>
      </c>
      <c r="E182" s="2" t="s">
        <v>30</v>
      </c>
      <c r="F182" s="2" t="s">
        <v>31</v>
      </c>
      <c r="G182" s="2">
        <v>1</v>
      </c>
      <c r="H182" s="2">
        <v>264</v>
      </c>
      <c r="I182" s="2">
        <v>264</v>
      </c>
      <c r="J182" s="2">
        <v>215</v>
      </c>
      <c r="K182" s="2" t="s">
        <v>20</v>
      </c>
      <c r="L182" s="19">
        <f>SalesData!I182/SalesData!J182</f>
        <v>1.2279069767441861</v>
      </c>
    </row>
    <row r="183" spans="1:12" x14ac:dyDescent="0.25">
      <c r="A183" s="2">
        <v>1182</v>
      </c>
      <c r="B183" s="3">
        <v>46000</v>
      </c>
      <c r="C183" s="2" t="s">
        <v>25</v>
      </c>
      <c r="D183" s="2" t="s">
        <v>17</v>
      </c>
      <c r="E183" s="2" t="s">
        <v>27</v>
      </c>
      <c r="F183" s="2" t="s">
        <v>29</v>
      </c>
      <c r="G183" s="2">
        <v>7</v>
      </c>
      <c r="H183" s="2">
        <v>366</v>
      </c>
      <c r="I183" s="2">
        <v>2562</v>
      </c>
      <c r="J183" s="2">
        <v>2893</v>
      </c>
      <c r="K183" s="2" t="s">
        <v>20</v>
      </c>
      <c r="L183" s="19">
        <f>SalesData!I183/SalesData!J183</f>
        <v>0.88558589699274115</v>
      </c>
    </row>
    <row r="184" spans="1:12" x14ac:dyDescent="0.25">
      <c r="A184" s="2">
        <v>1183</v>
      </c>
      <c r="B184" s="3">
        <v>45978</v>
      </c>
      <c r="C184" s="2" t="s">
        <v>25</v>
      </c>
      <c r="D184" s="2" t="s">
        <v>17</v>
      </c>
      <c r="E184" s="2" t="s">
        <v>18</v>
      </c>
      <c r="F184" s="2" t="s">
        <v>14</v>
      </c>
      <c r="G184" s="2">
        <v>9</v>
      </c>
      <c r="H184" s="2">
        <v>268</v>
      </c>
      <c r="I184" s="2">
        <v>2412</v>
      </c>
      <c r="J184" s="2">
        <v>2648</v>
      </c>
      <c r="K184" s="2" t="s">
        <v>20</v>
      </c>
      <c r="L184" s="19">
        <f>SalesData!I184/SalesData!J184</f>
        <v>0.91087613293051362</v>
      </c>
    </row>
    <row r="185" spans="1:12" x14ac:dyDescent="0.25">
      <c r="A185" s="2">
        <v>1184</v>
      </c>
      <c r="B185" s="3">
        <v>45676</v>
      </c>
      <c r="C185" s="2" t="s">
        <v>11</v>
      </c>
      <c r="D185" s="2" t="s">
        <v>12</v>
      </c>
      <c r="E185" s="2" t="s">
        <v>21</v>
      </c>
      <c r="F185" s="2" t="s">
        <v>29</v>
      </c>
      <c r="G185" s="2">
        <v>9</v>
      </c>
      <c r="H185" s="2">
        <v>147</v>
      </c>
      <c r="I185" s="2">
        <v>1323</v>
      </c>
      <c r="J185" s="2">
        <v>1232</v>
      </c>
      <c r="K185" s="2" t="s">
        <v>20</v>
      </c>
      <c r="L185" s="19">
        <f>SalesData!I185/SalesData!J185</f>
        <v>1.0738636363636365</v>
      </c>
    </row>
    <row r="186" spans="1:12" x14ac:dyDescent="0.25">
      <c r="A186" s="2">
        <v>1185</v>
      </c>
      <c r="B186" s="3">
        <v>45873</v>
      </c>
      <c r="C186" s="2" t="s">
        <v>11</v>
      </c>
      <c r="D186" s="2" t="s">
        <v>23</v>
      </c>
      <c r="E186" s="2" t="s">
        <v>26</v>
      </c>
      <c r="F186" s="2" t="s">
        <v>14</v>
      </c>
      <c r="G186" s="2">
        <v>1</v>
      </c>
      <c r="H186" s="2">
        <v>485</v>
      </c>
      <c r="I186" s="2">
        <v>485</v>
      </c>
      <c r="J186" s="2">
        <v>512</v>
      </c>
      <c r="K186" s="2" t="s">
        <v>20</v>
      </c>
      <c r="L186" s="19">
        <f>SalesData!I186/SalesData!J186</f>
        <v>0.947265625</v>
      </c>
    </row>
    <row r="187" spans="1:12" x14ac:dyDescent="0.25">
      <c r="A187" s="2">
        <v>1186</v>
      </c>
      <c r="B187" s="3">
        <v>45802</v>
      </c>
      <c r="C187" s="2" t="s">
        <v>16</v>
      </c>
      <c r="D187" s="2" t="s">
        <v>17</v>
      </c>
      <c r="E187" s="2" t="s">
        <v>27</v>
      </c>
      <c r="F187" s="2" t="s">
        <v>29</v>
      </c>
      <c r="G187" s="2">
        <v>1</v>
      </c>
      <c r="H187" s="2">
        <v>450</v>
      </c>
      <c r="I187" s="2">
        <v>450</v>
      </c>
      <c r="J187" s="2">
        <v>488</v>
      </c>
      <c r="K187" s="2" t="s">
        <v>20</v>
      </c>
      <c r="L187" s="19">
        <f>SalesData!I187/SalesData!J187</f>
        <v>0.92213114754098358</v>
      </c>
    </row>
    <row r="188" spans="1:12" x14ac:dyDescent="0.25">
      <c r="A188" s="2">
        <v>1187</v>
      </c>
      <c r="B188" s="3">
        <v>45684</v>
      </c>
      <c r="C188" s="2" t="s">
        <v>28</v>
      </c>
      <c r="D188" s="2" t="s">
        <v>23</v>
      </c>
      <c r="E188" s="2" t="s">
        <v>24</v>
      </c>
      <c r="F188" s="2" t="s">
        <v>19</v>
      </c>
      <c r="G188" s="2">
        <v>8</v>
      </c>
      <c r="H188" s="2">
        <v>85</v>
      </c>
      <c r="I188" s="2">
        <v>680</v>
      </c>
      <c r="J188" s="2">
        <v>638</v>
      </c>
      <c r="K188" s="2" t="s">
        <v>20</v>
      </c>
      <c r="L188" s="19">
        <f>SalesData!I188/SalesData!J188</f>
        <v>1.0658307210031348</v>
      </c>
    </row>
    <row r="189" spans="1:12" x14ac:dyDescent="0.25">
      <c r="A189" s="2">
        <v>1188</v>
      </c>
      <c r="B189" s="3">
        <v>46016</v>
      </c>
      <c r="C189" s="2" t="s">
        <v>16</v>
      </c>
      <c r="D189" s="2" t="s">
        <v>12</v>
      </c>
      <c r="E189" s="2" t="s">
        <v>34</v>
      </c>
      <c r="F189" s="2" t="s">
        <v>22</v>
      </c>
      <c r="G189" s="2">
        <v>7</v>
      </c>
      <c r="H189" s="2">
        <v>88</v>
      </c>
      <c r="I189" s="2">
        <v>616</v>
      </c>
      <c r="J189" s="2">
        <v>536</v>
      </c>
      <c r="K189" s="2" t="s">
        <v>15</v>
      </c>
      <c r="L189" s="19">
        <f>SalesData!I189/SalesData!J189</f>
        <v>1.1492537313432836</v>
      </c>
    </row>
    <row r="190" spans="1:12" x14ac:dyDescent="0.25">
      <c r="A190" s="2">
        <v>1189</v>
      </c>
      <c r="B190" s="3">
        <v>45665</v>
      </c>
      <c r="C190" s="2" t="s">
        <v>25</v>
      </c>
      <c r="D190" s="2" t="s">
        <v>23</v>
      </c>
      <c r="E190" s="2" t="s">
        <v>26</v>
      </c>
      <c r="F190" s="2" t="s">
        <v>32</v>
      </c>
      <c r="G190" s="2">
        <v>3</v>
      </c>
      <c r="H190" s="2">
        <v>91</v>
      </c>
      <c r="I190" s="2">
        <v>273</v>
      </c>
      <c r="J190" s="2">
        <v>257</v>
      </c>
      <c r="K190" s="2" t="s">
        <v>15</v>
      </c>
      <c r="L190" s="19">
        <f>SalesData!I190/SalesData!J190</f>
        <v>1.0622568093385214</v>
      </c>
    </row>
    <row r="191" spans="1:12" x14ac:dyDescent="0.25">
      <c r="A191" s="2">
        <v>1190</v>
      </c>
      <c r="B191" s="3">
        <v>45663</v>
      </c>
      <c r="C191" s="2" t="s">
        <v>28</v>
      </c>
      <c r="D191" s="2" t="s">
        <v>23</v>
      </c>
      <c r="E191" s="2" t="s">
        <v>24</v>
      </c>
      <c r="F191" s="2" t="s">
        <v>22</v>
      </c>
      <c r="G191" s="2">
        <v>9</v>
      </c>
      <c r="H191" s="2">
        <v>25</v>
      </c>
      <c r="I191" s="2">
        <v>225</v>
      </c>
      <c r="J191" s="2">
        <v>241</v>
      </c>
      <c r="K191" s="2" t="s">
        <v>20</v>
      </c>
      <c r="L191" s="19">
        <f>SalesData!I191/SalesData!J191</f>
        <v>0.93360995850622408</v>
      </c>
    </row>
    <row r="192" spans="1:12" x14ac:dyDescent="0.25">
      <c r="A192" s="2">
        <v>1191</v>
      </c>
      <c r="B192" s="3">
        <v>45855</v>
      </c>
      <c r="C192" s="2" t="s">
        <v>16</v>
      </c>
      <c r="D192" s="2" t="s">
        <v>12</v>
      </c>
      <c r="E192" s="2" t="s">
        <v>34</v>
      </c>
      <c r="F192" s="2" t="s">
        <v>32</v>
      </c>
      <c r="G192" s="2">
        <v>10</v>
      </c>
      <c r="H192" s="2">
        <v>126</v>
      </c>
      <c r="I192" s="2">
        <v>1260</v>
      </c>
      <c r="J192" s="2">
        <v>1443</v>
      </c>
      <c r="K192" s="2" t="s">
        <v>20</v>
      </c>
      <c r="L192" s="19">
        <f>SalesData!I192/SalesData!J192</f>
        <v>0.87318087318087323</v>
      </c>
    </row>
    <row r="193" spans="1:12" x14ac:dyDescent="0.25">
      <c r="A193" s="2">
        <v>1192</v>
      </c>
      <c r="B193" s="3">
        <v>45828</v>
      </c>
      <c r="C193" s="2" t="s">
        <v>16</v>
      </c>
      <c r="D193" s="2" t="s">
        <v>12</v>
      </c>
      <c r="E193" s="2" t="s">
        <v>13</v>
      </c>
      <c r="F193" s="2" t="s">
        <v>32</v>
      </c>
      <c r="G193" s="2">
        <v>3</v>
      </c>
      <c r="H193" s="2">
        <v>159</v>
      </c>
      <c r="I193" s="2">
        <v>477</v>
      </c>
      <c r="J193" s="2">
        <v>614</v>
      </c>
      <c r="K193" s="2" t="s">
        <v>20</v>
      </c>
      <c r="L193" s="19">
        <f>SalesData!I193/SalesData!J193</f>
        <v>0.77687296416938112</v>
      </c>
    </row>
    <row r="194" spans="1:12" x14ac:dyDescent="0.25">
      <c r="A194" s="2">
        <v>1193</v>
      </c>
      <c r="B194" s="3">
        <v>45994</v>
      </c>
      <c r="C194" s="2" t="s">
        <v>25</v>
      </c>
      <c r="D194" s="2" t="s">
        <v>23</v>
      </c>
      <c r="E194" s="2" t="s">
        <v>26</v>
      </c>
      <c r="F194" s="2" t="s">
        <v>19</v>
      </c>
      <c r="G194" s="2">
        <v>8</v>
      </c>
      <c r="H194" s="2">
        <v>474</v>
      </c>
      <c r="I194" s="2">
        <v>3792</v>
      </c>
      <c r="J194" s="2">
        <v>3846</v>
      </c>
      <c r="K194" s="2" t="s">
        <v>15</v>
      </c>
      <c r="L194" s="19">
        <f>SalesData!I194/SalesData!J194</f>
        <v>0.98595943837753508</v>
      </c>
    </row>
    <row r="195" spans="1:12" x14ac:dyDescent="0.25">
      <c r="A195" s="2">
        <v>1194</v>
      </c>
      <c r="B195" s="3">
        <v>45715</v>
      </c>
      <c r="C195" s="2" t="s">
        <v>16</v>
      </c>
      <c r="D195" s="2" t="s">
        <v>12</v>
      </c>
      <c r="E195" s="2" t="s">
        <v>34</v>
      </c>
      <c r="F195" s="2" t="s">
        <v>14</v>
      </c>
      <c r="G195" s="2">
        <v>5</v>
      </c>
      <c r="H195" s="2">
        <v>411</v>
      </c>
      <c r="I195" s="2">
        <v>2055</v>
      </c>
      <c r="J195" s="2">
        <v>1867</v>
      </c>
      <c r="K195" s="2" t="s">
        <v>20</v>
      </c>
      <c r="L195" s="19">
        <f>SalesData!I195/SalesData!J195</f>
        <v>1.1006963042313873</v>
      </c>
    </row>
    <row r="196" spans="1:12" x14ac:dyDescent="0.25">
      <c r="A196" s="2">
        <v>1195</v>
      </c>
      <c r="B196" s="3">
        <v>45757</v>
      </c>
      <c r="C196" s="2" t="s">
        <v>16</v>
      </c>
      <c r="D196" s="2" t="s">
        <v>23</v>
      </c>
      <c r="E196" s="2" t="s">
        <v>24</v>
      </c>
      <c r="F196" s="2" t="s">
        <v>22</v>
      </c>
      <c r="G196" s="2">
        <v>4</v>
      </c>
      <c r="H196" s="2">
        <v>143</v>
      </c>
      <c r="I196" s="2">
        <v>572</v>
      </c>
      <c r="J196" s="2">
        <v>528</v>
      </c>
      <c r="K196" s="2" t="s">
        <v>20</v>
      </c>
      <c r="L196" s="19">
        <f>SalesData!I196/SalesData!J196</f>
        <v>1.0833333333333333</v>
      </c>
    </row>
    <row r="197" spans="1:12" x14ac:dyDescent="0.25">
      <c r="A197" s="2">
        <v>1196</v>
      </c>
      <c r="B197" s="3">
        <v>45690</v>
      </c>
      <c r="C197" s="2" t="s">
        <v>25</v>
      </c>
      <c r="D197" s="2" t="s">
        <v>23</v>
      </c>
      <c r="E197" s="2" t="s">
        <v>24</v>
      </c>
      <c r="F197" s="2" t="s">
        <v>14</v>
      </c>
      <c r="G197" s="2">
        <v>7</v>
      </c>
      <c r="H197" s="2">
        <v>421</v>
      </c>
      <c r="I197" s="2">
        <v>2947</v>
      </c>
      <c r="J197" s="2">
        <v>3231</v>
      </c>
      <c r="K197" s="2" t="s">
        <v>15</v>
      </c>
      <c r="L197" s="19">
        <f>SalesData!I197/SalesData!J197</f>
        <v>0.91210151655834104</v>
      </c>
    </row>
    <row r="198" spans="1:12" x14ac:dyDescent="0.25">
      <c r="A198" s="2">
        <v>1197</v>
      </c>
      <c r="B198" s="3">
        <v>45791</v>
      </c>
      <c r="C198" s="2" t="s">
        <v>11</v>
      </c>
      <c r="D198" s="2" t="s">
        <v>23</v>
      </c>
      <c r="E198" s="2" t="s">
        <v>24</v>
      </c>
      <c r="F198" s="2" t="s">
        <v>32</v>
      </c>
      <c r="G198" s="2">
        <v>8</v>
      </c>
      <c r="H198" s="2">
        <v>35</v>
      </c>
      <c r="I198" s="2">
        <v>280</v>
      </c>
      <c r="J198" s="2">
        <v>350</v>
      </c>
      <c r="K198" s="2" t="s">
        <v>15</v>
      </c>
      <c r="L198" s="19">
        <f>SalesData!I198/SalesData!J198</f>
        <v>0.8</v>
      </c>
    </row>
    <row r="199" spans="1:12" x14ac:dyDescent="0.25">
      <c r="A199" s="2">
        <v>1198</v>
      </c>
      <c r="B199" s="3">
        <v>46022</v>
      </c>
      <c r="C199" s="2" t="s">
        <v>25</v>
      </c>
      <c r="D199" s="2" t="s">
        <v>23</v>
      </c>
      <c r="E199" s="2" t="s">
        <v>35</v>
      </c>
      <c r="F199" s="2" t="s">
        <v>31</v>
      </c>
      <c r="G199" s="2">
        <v>4</v>
      </c>
      <c r="H199" s="2">
        <v>250</v>
      </c>
      <c r="I199" s="2">
        <v>1000</v>
      </c>
      <c r="J199" s="2">
        <v>817</v>
      </c>
      <c r="K199" s="2" t="s">
        <v>15</v>
      </c>
      <c r="L199" s="19">
        <f>SalesData!I199/SalesData!J199</f>
        <v>1.2239902080783354</v>
      </c>
    </row>
    <row r="200" spans="1:12" x14ac:dyDescent="0.25">
      <c r="A200" s="2">
        <v>1199</v>
      </c>
      <c r="B200" s="3">
        <v>45837</v>
      </c>
      <c r="C200" s="2" t="s">
        <v>25</v>
      </c>
      <c r="D200" s="2" t="s">
        <v>23</v>
      </c>
      <c r="E200" s="2" t="s">
        <v>24</v>
      </c>
      <c r="F200" s="2" t="s">
        <v>31</v>
      </c>
      <c r="G200" s="2">
        <v>8</v>
      </c>
      <c r="H200" s="2">
        <v>264</v>
      </c>
      <c r="I200" s="2">
        <v>2112</v>
      </c>
      <c r="J200" s="2">
        <v>2257</v>
      </c>
      <c r="K200" s="2" t="s">
        <v>15</v>
      </c>
      <c r="L200" s="19">
        <f>SalesData!I200/SalesData!J200</f>
        <v>0.93575542755870622</v>
      </c>
    </row>
    <row r="201" spans="1:12" x14ac:dyDescent="0.25">
      <c r="A201" s="2">
        <v>1200</v>
      </c>
      <c r="B201" s="3">
        <v>46001</v>
      </c>
      <c r="C201" s="2" t="s">
        <v>25</v>
      </c>
      <c r="D201" s="2" t="s">
        <v>17</v>
      </c>
      <c r="E201" s="2" t="s">
        <v>30</v>
      </c>
      <c r="F201" s="2" t="s">
        <v>22</v>
      </c>
      <c r="G201" s="2">
        <v>5</v>
      </c>
      <c r="H201" s="2">
        <v>291</v>
      </c>
      <c r="I201" s="2">
        <v>1455</v>
      </c>
      <c r="J201" s="2">
        <v>1272</v>
      </c>
      <c r="K201" s="2" t="s">
        <v>15</v>
      </c>
      <c r="L201" s="19">
        <f>SalesData!I201/SalesData!J201</f>
        <v>1.1438679245283019</v>
      </c>
    </row>
    <row r="202" spans="1:12" x14ac:dyDescent="0.25">
      <c r="A202" s="2">
        <v>1201</v>
      </c>
      <c r="B202" s="3">
        <v>45794</v>
      </c>
      <c r="C202" s="2" t="s">
        <v>11</v>
      </c>
      <c r="D202" s="2" t="s">
        <v>17</v>
      </c>
      <c r="E202" s="2" t="s">
        <v>27</v>
      </c>
      <c r="F202" s="2" t="s">
        <v>29</v>
      </c>
      <c r="G202" s="2">
        <v>1</v>
      </c>
      <c r="H202" s="2">
        <v>403</v>
      </c>
      <c r="I202" s="2">
        <v>403</v>
      </c>
      <c r="J202" s="2">
        <v>461</v>
      </c>
      <c r="K202" s="2" t="s">
        <v>20</v>
      </c>
      <c r="L202" s="19">
        <f>SalesData!I202/SalesData!J202</f>
        <v>0.87418655097613884</v>
      </c>
    </row>
    <row r="203" spans="1:12" x14ac:dyDescent="0.25">
      <c r="A203" s="2">
        <v>1202</v>
      </c>
      <c r="B203" s="3">
        <v>45985</v>
      </c>
      <c r="C203" s="2" t="s">
        <v>28</v>
      </c>
      <c r="D203" s="2" t="s">
        <v>17</v>
      </c>
      <c r="E203" s="2" t="s">
        <v>30</v>
      </c>
      <c r="F203" s="2" t="s">
        <v>32</v>
      </c>
      <c r="G203" s="2">
        <v>1</v>
      </c>
      <c r="H203" s="2">
        <v>23</v>
      </c>
      <c r="I203" s="2">
        <v>23</v>
      </c>
      <c r="J203" s="2">
        <v>21</v>
      </c>
      <c r="K203" s="2" t="s">
        <v>20</v>
      </c>
      <c r="L203" s="19">
        <f>SalesData!I203/SalesData!J203</f>
        <v>1.0952380952380953</v>
      </c>
    </row>
    <row r="204" spans="1:12" x14ac:dyDescent="0.25">
      <c r="A204" s="2">
        <v>1203</v>
      </c>
      <c r="B204" s="3">
        <v>45755</v>
      </c>
      <c r="C204" s="2" t="s">
        <v>25</v>
      </c>
      <c r="D204" s="2" t="s">
        <v>23</v>
      </c>
      <c r="E204" s="2" t="s">
        <v>35</v>
      </c>
      <c r="F204" s="2" t="s">
        <v>31</v>
      </c>
      <c r="G204" s="2">
        <v>3</v>
      </c>
      <c r="H204" s="2">
        <v>105</v>
      </c>
      <c r="I204" s="2">
        <v>315</v>
      </c>
      <c r="J204" s="2">
        <v>405</v>
      </c>
      <c r="K204" s="2" t="s">
        <v>20</v>
      </c>
      <c r="L204" s="19">
        <f>SalesData!I204/SalesData!J204</f>
        <v>0.77777777777777779</v>
      </c>
    </row>
    <row r="205" spans="1:12" x14ac:dyDescent="0.25">
      <c r="A205" s="2">
        <v>1204</v>
      </c>
      <c r="B205" s="3">
        <v>45709</v>
      </c>
      <c r="C205" s="2" t="s">
        <v>11</v>
      </c>
      <c r="D205" s="2" t="s">
        <v>17</v>
      </c>
      <c r="E205" s="2" t="s">
        <v>30</v>
      </c>
      <c r="F205" s="2" t="s">
        <v>14</v>
      </c>
      <c r="G205" s="2">
        <v>9</v>
      </c>
      <c r="H205" s="2">
        <v>473</v>
      </c>
      <c r="I205" s="2">
        <v>4257</v>
      </c>
      <c r="J205" s="2">
        <v>4799</v>
      </c>
      <c r="K205" s="2" t="s">
        <v>20</v>
      </c>
      <c r="L205" s="19">
        <f>SalesData!I205/SalesData!J205</f>
        <v>0.88705980412585961</v>
      </c>
    </row>
    <row r="206" spans="1:12" x14ac:dyDescent="0.25">
      <c r="A206" s="2">
        <v>1205</v>
      </c>
      <c r="B206" s="3">
        <v>46015</v>
      </c>
      <c r="C206" s="2" t="s">
        <v>25</v>
      </c>
      <c r="D206" s="2" t="s">
        <v>23</v>
      </c>
      <c r="E206" s="2" t="s">
        <v>35</v>
      </c>
      <c r="F206" s="2" t="s">
        <v>31</v>
      </c>
      <c r="G206" s="2">
        <v>9</v>
      </c>
      <c r="H206" s="2">
        <v>179</v>
      </c>
      <c r="I206" s="2">
        <v>1611</v>
      </c>
      <c r="J206" s="2">
        <v>1548</v>
      </c>
      <c r="K206" s="2" t="s">
        <v>15</v>
      </c>
      <c r="L206" s="19">
        <f>SalesData!I206/SalesData!J206</f>
        <v>1.0406976744186047</v>
      </c>
    </row>
    <row r="207" spans="1:12" x14ac:dyDescent="0.25">
      <c r="A207" s="2">
        <v>1206</v>
      </c>
      <c r="B207" s="3">
        <v>45885</v>
      </c>
      <c r="C207" s="2" t="s">
        <v>28</v>
      </c>
      <c r="D207" s="2" t="s">
        <v>23</v>
      </c>
      <c r="E207" s="2" t="s">
        <v>24</v>
      </c>
      <c r="F207" s="2" t="s">
        <v>31</v>
      </c>
      <c r="G207" s="2">
        <v>2</v>
      </c>
      <c r="H207" s="2">
        <v>487</v>
      </c>
      <c r="I207" s="2">
        <v>974</v>
      </c>
      <c r="J207" s="2">
        <v>1138</v>
      </c>
      <c r="K207" s="2" t="s">
        <v>15</v>
      </c>
      <c r="L207" s="19">
        <f>SalesData!I207/SalesData!J207</f>
        <v>0.85588752196836559</v>
      </c>
    </row>
    <row r="208" spans="1:12" x14ac:dyDescent="0.25">
      <c r="A208" s="2">
        <v>1207</v>
      </c>
      <c r="B208" s="3">
        <v>45904</v>
      </c>
      <c r="C208" s="2" t="s">
        <v>28</v>
      </c>
      <c r="D208" s="2" t="s">
        <v>23</v>
      </c>
      <c r="E208" s="2" t="s">
        <v>35</v>
      </c>
      <c r="F208" s="2" t="s">
        <v>32</v>
      </c>
      <c r="G208" s="2">
        <v>10</v>
      </c>
      <c r="H208" s="2">
        <v>83</v>
      </c>
      <c r="I208" s="2">
        <v>830</v>
      </c>
      <c r="J208" s="2">
        <v>845</v>
      </c>
      <c r="K208" s="2" t="s">
        <v>20</v>
      </c>
      <c r="L208" s="19">
        <f>SalesData!I208/SalesData!J208</f>
        <v>0.98224852071005919</v>
      </c>
    </row>
    <row r="209" spans="1:12" x14ac:dyDescent="0.25">
      <c r="A209" s="2">
        <v>1208</v>
      </c>
      <c r="B209" s="3">
        <v>45905</v>
      </c>
      <c r="C209" s="2" t="s">
        <v>25</v>
      </c>
      <c r="D209" s="2" t="s">
        <v>23</v>
      </c>
      <c r="E209" s="2" t="s">
        <v>35</v>
      </c>
      <c r="F209" s="2" t="s">
        <v>29</v>
      </c>
      <c r="G209" s="2">
        <v>5</v>
      </c>
      <c r="H209" s="2">
        <v>371</v>
      </c>
      <c r="I209" s="2">
        <v>1855</v>
      </c>
      <c r="J209" s="2">
        <v>1986</v>
      </c>
      <c r="K209" s="2" t="s">
        <v>20</v>
      </c>
      <c r="L209" s="19">
        <f>SalesData!I209/SalesData!J209</f>
        <v>0.93403826787512589</v>
      </c>
    </row>
    <row r="210" spans="1:12" x14ac:dyDescent="0.25">
      <c r="A210" s="2">
        <v>1209</v>
      </c>
      <c r="B210" s="3">
        <v>45921</v>
      </c>
      <c r="C210" s="2" t="s">
        <v>25</v>
      </c>
      <c r="D210" s="2" t="s">
        <v>12</v>
      </c>
      <c r="E210" s="2" t="s">
        <v>13</v>
      </c>
      <c r="F210" s="2" t="s">
        <v>31</v>
      </c>
      <c r="G210" s="2">
        <v>6</v>
      </c>
      <c r="H210" s="2">
        <v>433</v>
      </c>
      <c r="I210" s="2">
        <v>2598</v>
      </c>
      <c r="J210" s="2">
        <v>2176</v>
      </c>
      <c r="K210" s="2" t="s">
        <v>15</v>
      </c>
      <c r="L210" s="19">
        <f>SalesData!I210/SalesData!J210</f>
        <v>1.1939338235294117</v>
      </c>
    </row>
    <row r="211" spans="1:12" x14ac:dyDescent="0.25">
      <c r="A211" s="2">
        <v>1210</v>
      </c>
      <c r="B211" s="3">
        <v>46010</v>
      </c>
      <c r="C211" s="2" t="s">
        <v>25</v>
      </c>
      <c r="D211" s="2" t="s">
        <v>12</v>
      </c>
      <c r="E211" s="2" t="s">
        <v>33</v>
      </c>
      <c r="F211" s="2" t="s">
        <v>32</v>
      </c>
      <c r="G211" s="2">
        <v>10</v>
      </c>
      <c r="H211" s="2">
        <v>297</v>
      </c>
      <c r="I211" s="2">
        <v>2970</v>
      </c>
      <c r="J211" s="2">
        <v>3612</v>
      </c>
      <c r="K211" s="2" t="s">
        <v>15</v>
      </c>
      <c r="L211" s="19">
        <f>SalesData!I211/SalesData!J211</f>
        <v>0.82225913621262459</v>
      </c>
    </row>
    <row r="212" spans="1:12" x14ac:dyDescent="0.25">
      <c r="A212" s="2">
        <v>1211</v>
      </c>
      <c r="B212" s="3">
        <v>45659</v>
      </c>
      <c r="C212" s="2" t="s">
        <v>25</v>
      </c>
      <c r="D212" s="2" t="s">
        <v>23</v>
      </c>
      <c r="E212" s="2" t="s">
        <v>35</v>
      </c>
      <c r="F212" s="2" t="s">
        <v>22</v>
      </c>
      <c r="G212" s="2">
        <v>8</v>
      </c>
      <c r="H212" s="2">
        <v>176</v>
      </c>
      <c r="I212" s="2">
        <v>1408</v>
      </c>
      <c r="J212" s="2">
        <v>1550</v>
      </c>
      <c r="K212" s="2" t="s">
        <v>20</v>
      </c>
      <c r="L212" s="19">
        <f>SalesData!I212/SalesData!J212</f>
        <v>0.9083870967741936</v>
      </c>
    </row>
    <row r="213" spans="1:12" x14ac:dyDescent="0.25">
      <c r="A213" s="2">
        <v>1212</v>
      </c>
      <c r="B213" s="3">
        <v>45895</v>
      </c>
      <c r="C213" s="2" t="s">
        <v>11</v>
      </c>
      <c r="D213" s="2" t="s">
        <v>12</v>
      </c>
      <c r="E213" s="2" t="s">
        <v>13</v>
      </c>
      <c r="F213" s="2" t="s">
        <v>32</v>
      </c>
      <c r="G213" s="2">
        <v>4</v>
      </c>
      <c r="H213" s="2">
        <v>37</v>
      </c>
      <c r="I213" s="2">
        <v>148</v>
      </c>
      <c r="J213" s="2">
        <v>177</v>
      </c>
      <c r="K213" s="2" t="s">
        <v>15</v>
      </c>
      <c r="L213" s="19">
        <f>SalesData!I213/SalesData!J213</f>
        <v>0.83615819209039544</v>
      </c>
    </row>
    <row r="214" spans="1:12" x14ac:dyDescent="0.25">
      <c r="A214" s="2">
        <v>1213</v>
      </c>
      <c r="B214" s="3">
        <v>45717</v>
      </c>
      <c r="C214" s="2" t="s">
        <v>28</v>
      </c>
      <c r="D214" s="2" t="s">
        <v>12</v>
      </c>
      <c r="E214" s="2" t="s">
        <v>13</v>
      </c>
      <c r="F214" s="2" t="s">
        <v>31</v>
      </c>
      <c r="G214" s="2">
        <v>9</v>
      </c>
      <c r="H214" s="2">
        <v>28</v>
      </c>
      <c r="I214" s="2">
        <v>252</v>
      </c>
      <c r="J214" s="2">
        <v>326</v>
      </c>
      <c r="K214" s="2" t="s">
        <v>20</v>
      </c>
      <c r="L214" s="19">
        <f>SalesData!I214/SalesData!J214</f>
        <v>0.77300613496932513</v>
      </c>
    </row>
    <row r="215" spans="1:12" x14ac:dyDescent="0.25">
      <c r="A215" s="2">
        <v>1214</v>
      </c>
      <c r="B215" s="3">
        <v>45865</v>
      </c>
      <c r="C215" s="2" t="s">
        <v>28</v>
      </c>
      <c r="D215" s="2" t="s">
        <v>17</v>
      </c>
      <c r="E215" s="2" t="s">
        <v>27</v>
      </c>
      <c r="F215" s="2" t="s">
        <v>19</v>
      </c>
      <c r="G215" s="2">
        <v>10</v>
      </c>
      <c r="H215" s="2">
        <v>60</v>
      </c>
      <c r="I215" s="2">
        <v>600</v>
      </c>
      <c r="J215" s="2">
        <v>496</v>
      </c>
      <c r="K215" s="2" t="s">
        <v>15</v>
      </c>
      <c r="L215" s="19">
        <f>SalesData!I215/SalesData!J215</f>
        <v>1.2096774193548387</v>
      </c>
    </row>
    <row r="216" spans="1:12" x14ac:dyDescent="0.25">
      <c r="A216" s="2">
        <v>1215</v>
      </c>
      <c r="B216" s="3">
        <v>45851</v>
      </c>
      <c r="C216" s="2" t="s">
        <v>16</v>
      </c>
      <c r="D216" s="2" t="s">
        <v>12</v>
      </c>
      <c r="E216" s="2" t="s">
        <v>34</v>
      </c>
      <c r="F216" s="2" t="s">
        <v>14</v>
      </c>
      <c r="G216" s="2">
        <v>3</v>
      </c>
      <c r="H216" s="2">
        <v>403</v>
      </c>
      <c r="I216" s="2">
        <v>1209</v>
      </c>
      <c r="J216" s="2">
        <v>1241</v>
      </c>
      <c r="K216" s="2" t="s">
        <v>20</v>
      </c>
      <c r="L216" s="19">
        <f>SalesData!I216/SalesData!J216</f>
        <v>0.97421434327155521</v>
      </c>
    </row>
    <row r="217" spans="1:12" x14ac:dyDescent="0.25">
      <c r="A217" s="2">
        <v>1216</v>
      </c>
      <c r="B217" s="3">
        <v>45926</v>
      </c>
      <c r="C217" s="2" t="s">
        <v>11</v>
      </c>
      <c r="D217" s="2" t="s">
        <v>17</v>
      </c>
      <c r="E217" s="2" t="s">
        <v>27</v>
      </c>
      <c r="F217" s="2" t="s">
        <v>14</v>
      </c>
      <c r="G217" s="2">
        <v>3</v>
      </c>
      <c r="H217" s="2">
        <v>238</v>
      </c>
      <c r="I217" s="2">
        <v>714</v>
      </c>
      <c r="J217" s="2">
        <v>791</v>
      </c>
      <c r="K217" s="2" t="s">
        <v>20</v>
      </c>
      <c r="L217" s="19">
        <f>SalesData!I217/SalesData!J217</f>
        <v>0.90265486725663713</v>
      </c>
    </row>
    <row r="218" spans="1:12" x14ac:dyDescent="0.25">
      <c r="A218" s="2">
        <v>1217</v>
      </c>
      <c r="B218" s="3">
        <v>45811</v>
      </c>
      <c r="C218" s="2" t="s">
        <v>11</v>
      </c>
      <c r="D218" s="2" t="s">
        <v>17</v>
      </c>
      <c r="E218" s="2" t="s">
        <v>27</v>
      </c>
      <c r="F218" s="2" t="s">
        <v>19</v>
      </c>
      <c r="G218" s="2">
        <v>2</v>
      </c>
      <c r="H218" s="2">
        <v>56</v>
      </c>
      <c r="I218" s="2">
        <v>112</v>
      </c>
      <c r="J218" s="2">
        <v>119</v>
      </c>
      <c r="K218" s="2" t="s">
        <v>20</v>
      </c>
      <c r="L218" s="19">
        <f>SalesData!I218/SalesData!J218</f>
        <v>0.94117647058823528</v>
      </c>
    </row>
    <row r="219" spans="1:12" x14ac:dyDescent="0.25">
      <c r="A219" s="2">
        <v>1218</v>
      </c>
      <c r="B219" s="3">
        <v>46009</v>
      </c>
      <c r="C219" s="2" t="s">
        <v>28</v>
      </c>
      <c r="D219" s="2" t="s">
        <v>23</v>
      </c>
      <c r="E219" s="2" t="s">
        <v>24</v>
      </c>
      <c r="F219" s="2" t="s">
        <v>32</v>
      </c>
      <c r="G219" s="2">
        <v>7</v>
      </c>
      <c r="H219" s="2">
        <v>415</v>
      </c>
      <c r="I219" s="2">
        <v>2905</v>
      </c>
      <c r="J219" s="2">
        <v>2372</v>
      </c>
      <c r="K219" s="2" t="s">
        <v>15</v>
      </c>
      <c r="L219" s="19">
        <f>SalesData!I219/SalesData!J219</f>
        <v>1.2247048903878583</v>
      </c>
    </row>
    <row r="220" spans="1:12" x14ac:dyDescent="0.25">
      <c r="A220" s="2">
        <v>1219</v>
      </c>
      <c r="B220" s="3">
        <v>45685</v>
      </c>
      <c r="C220" s="2" t="s">
        <v>25</v>
      </c>
      <c r="D220" s="2" t="s">
        <v>17</v>
      </c>
      <c r="E220" s="2" t="s">
        <v>30</v>
      </c>
      <c r="F220" s="2" t="s">
        <v>32</v>
      </c>
      <c r="G220" s="2">
        <v>8</v>
      </c>
      <c r="H220" s="2">
        <v>462</v>
      </c>
      <c r="I220" s="2">
        <v>3696</v>
      </c>
      <c r="J220" s="2">
        <v>4176</v>
      </c>
      <c r="K220" s="2" t="s">
        <v>15</v>
      </c>
      <c r="L220" s="19">
        <f>SalesData!I220/SalesData!J220</f>
        <v>0.88505747126436785</v>
      </c>
    </row>
    <row r="221" spans="1:12" x14ac:dyDescent="0.25">
      <c r="A221" s="2">
        <v>1220</v>
      </c>
      <c r="B221" s="3">
        <v>45838</v>
      </c>
      <c r="C221" s="2" t="s">
        <v>11</v>
      </c>
      <c r="D221" s="2" t="s">
        <v>23</v>
      </c>
      <c r="E221" s="2" t="s">
        <v>24</v>
      </c>
      <c r="F221" s="2" t="s">
        <v>29</v>
      </c>
      <c r="G221" s="2">
        <v>5</v>
      </c>
      <c r="H221" s="2">
        <v>124</v>
      </c>
      <c r="I221" s="2">
        <v>620</v>
      </c>
      <c r="J221" s="2">
        <v>691</v>
      </c>
      <c r="K221" s="2" t="s">
        <v>15</v>
      </c>
      <c r="L221" s="19">
        <f>SalesData!I221/SalesData!J221</f>
        <v>0.89725036179450068</v>
      </c>
    </row>
    <row r="222" spans="1:12" x14ac:dyDescent="0.25">
      <c r="A222" s="2">
        <v>1221</v>
      </c>
      <c r="B222" s="3">
        <v>45956</v>
      </c>
      <c r="C222" s="2" t="s">
        <v>11</v>
      </c>
      <c r="D222" s="2" t="s">
        <v>17</v>
      </c>
      <c r="E222" s="2" t="s">
        <v>30</v>
      </c>
      <c r="F222" s="2" t="s">
        <v>14</v>
      </c>
      <c r="G222" s="2">
        <v>6</v>
      </c>
      <c r="H222" s="2">
        <v>250</v>
      </c>
      <c r="I222" s="2">
        <v>1500</v>
      </c>
      <c r="J222" s="2">
        <v>1882</v>
      </c>
      <c r="K222" s="2" t="s">
        <v>15</v>
      </c>
      <c r="L222" s="19">
        <f>SalesData!I222/SalesData!J222</f>
        <v>0.79702444208289058</v>
      </c>
    </row>
    <row r="223" spans="1:12" x14ac:dyDescent="0.25">
      <c r="A223" s="2">
        <v>1222</v>
      </c>
      <c r="B223" s="3">
        <v>45892</v>
      </c>
      <c r="C223" s="2" t="s">
        <v>25</v>
      </c>
      <c r="D223" s="2" t="s">
        <v>17</v>
      </c>
      <c r="E223" s="2" t="s">
        <v>30</v>
      </c>
      <c r="F223" s="2" t="s">
        <v>22</v>
      </c>
      <c r="G223" s="2">
        <v>9</v>
      </c>
      <c r="H223" s="2">
        <v>255</v>
      </c>
      <c r="I223" s="2">
        <v>2295</v>
      </c>
      <c r="J223" s="2">
        <v>2912</v>
      </c>
      <c r="K223" s="2" t="s">
        <v>20</v>
      </c>
      <c r="L223" s="19">
        <f>SalesData!I223/SalesData!J223</f>
        <v>0.78811813186813184</v>
      </c>
    </row>
    <row r="224" spans="1:12" x14ac:dyDescent="0.25">
      <c r="A224" s="2">
        <v>1223</v>
      </c>
      <c r="B224" s="3">
        <v>45893</v>
      </c>
      <c r="C224" s="2" t="s">
        <v>25</v>
      </c>
      <c r="D224" s="2" t="s">
        <v>23</v>
      </c>
      <c r="E224" s="2" t="s">
        <v>24</v>
      </c>
      <c r="F224" s="2" t="s">
        <v>31</v>
      </c>
      <c r="G224" s="2">
        <v>9</v>
      </c>
      <c r="H224" s="2">
        <v>442</v>
      </c>
      <c r="I224" s="2">
        <v>3978</v>
      </c>
      <c r="J224" s="2">
        <v>4445</v>
      </c>
      <c r="K224" s="2" t="s">
        <v>20</v>
      </c>
      <c r="L224" s="19">
        <f>SalesData!I224/SalesData!J224</f>
        <v>0.89493813273340828</v>
      </c>
    </row>
    <row r="225" spans="1:12" x14ac:dyDescent="0.25">
      <c r="A225" s="2">
        <v>1224</v>
      </c>
      <c r="B225" s="3">
        <v>45838</v>
      </c>
      <c r="C225" s="2" t="s">
        <v>16</v>
      </c>
      <c r="D225" s="2" t="s">
        <v>12</v>
      </c>
      <c r="E225" s="2" t="s">
        <v>33</v>
      </c>
      <c r="F225" s="2" t="s">
        <v>22</v>
      </c>
      <c r="G225" s="2">
        <v>8</v>
      </c>
      <c r="H225" s="2">
        <v>418</v>
      </c>
      <c r="I225" s="2">
        <v>3344</v>
      </c>
      <c r="J225" s="2">
        <v>2793</v>
      </c>
      <c r="K225" s="2" t="s">
        <v>20</v>
      </c>
      <c r="L225" s="19">
        <f>SalesData!I225/SalesData!J225</f>
        <v>1.1972789115646258</v>
      </c>
    </row>
    <row r="226" spans="1:12" x14ac:dyDescent="0.25">
      <c r="A226" s="2">
        <v>1225</v>
      </c>
      <c r="B226" s="3">
        <v>45947</v>
      </c>
      <c r="C226" s="2" t="s">
        <v>16</v>
      </c>
      <c r="D226" s="2" t="s">
        <v>12</v>
      </c>
      <c r="E226" s="2" t="s">
        <v>33</v>
      </c>
      <c r="F226" s="2" t="s">
        <v>14</v>
      </c>
      <c r="G226" s="2">
        <v>10</v>
      </c>
      <c r="H226" s="2">
        <v>128</v>
      </c>
      <c r="I226" s="2">
        <v>1280</v>
      </c>
      <c r="J226" s="2">
        <v>1310</v>
      </c>
      <c r="K226" s="2" t="s">
        <v>15</v>
      </c>
      <c r="L226" s="19">
        <f>SalesData!I226/SalesData!J226</f>
        <v>0.97709923664122134</v>
      </c>
    </row>
    <row r="227" spans="1:12" x14ac:dyDescent="0.25">
      <c r="A227" s="2">
        <v>1226</v>
      </c>
      <c r="B227" s="3">
        <v>45907</v>
      </c>
      <c r="C227" s="2" t="s">
        <v>28</v>
      </c>
      <c r="D227" s="2" t="s">
        <v>17</v>
      </c>
      <c r="E227" s="2" t="s">
        <v>27</v>
      </c>
      <c r="F227" s="2" t="s">
        <v>14</v>
      </c>
      <c r="G227" s="2">
        <v>6</v>
      </c>
      <c r="H227" s="2">
        <v>316</v>
      </c>
      <c r="I227" s="2">
        <v>1896</v>
      </c>
      <c r="J227" s="2">
        <v>1768</v>
      </c>
      <c r="K227" s="2" t="s">
        <v>20</v>
      </c>
      <c r="L227" s="19">
        <f>SalesData!I227/SalesData!J227</f>
        <v>1.0723981900452488</v>
      </c>
    </row>
    <row r="228" spans="1:12" x14ac:dyDescent="0.25">
      <c r="A228" s="2">
        <v>1227</v>
      </c>
      <c r="B228" s="3">
        <v>45760</v>
      </c>
      <c r="C228" s="2" t="s">
        <v>16</v>
      </c>
      <c r="D228" s="2" t="s">
        <v>17</v>
      </c>
      <c r="E228" s="2" t="s">
        <v>30</v>
      </c>
      <c r="F228" s="2" t="s">
        <v>14</v>
      </c>
      <c r="G228" s="2">
        <v>1</v>
      </c>
      <c r="H228" s="2">
        <v>455</v>
      </c>
      <c r="I228" s="2">
        <v>455</v>
      </c>
      <c r="J228" s="2">
        <v>419</v>
      </c>
      <c r="K228" s="2" t="s">
        <v>15</v>
      </c>
      <c r="L228" s="19">
        <f>SalesData!I228/SalesData!J228</f>
        <v>1.0859188544152745</v>
      </c>
    </row>
    <row r="229" spans="1:12" x14ac:dyDescent="0.25">
      <c r="A229" s="2">
        <v>1228</v>
      </c>
      <c r="B229" s="3">
        <v>45865</v>
      </c>
      <c r="C229" s="2" t="s">
        <v>16</v>
      </c>
      <c r="D229" s="2" t="s">
        <v>17</v>
      </c>
      <c r="E229" s="2" t="s">
        <v>27</v>
      </c>
      <c r="F229" s="2" t="s">
        <v>29</v>
      </c>
      <c r="G229" s="2">
        <v>3</v>
      </c>
      <c r="H229" s="2">
        <v>228</v>
      </c>
      <c r="I229" s="2">
        <v>684</v>
      </c>
      <c r="J229" s="2">
        <v>856</v>
      </c>
      <c r="K229" s="2" t="s">
        <v>15</v>
      </c>
      <c r="L229" s="19">
        <f>SalesData!I229/SalesData!J229</f>
        <v>0.7990654205607477</v>
      </c>
    </row>
    <row r="230" spans="1:12" x14ac:dyDescent="0.25">
      <c r="A230" s="2">
        <v>1229</v>
      </c>
      <c r="B230" s="3">
        <v>45727</v>
      </c>
      <c r="C230" s="2" t="s">
        <v>11</v>
      </c>
      <c r="D230" s="2" t="s">
        <v>23</v>
      </c>
      <c r="E230" s="2" t="s">
        <v>24</v>
      </c>
      <c r="F230" s="2" t="s">
        <v>31</v>
      </c>
      <c r="G230" s="2">
        <v>2</v>
      </c>
      <c r="H230" s="2">
        <v>392</v>
      </c>
      <c r="I230" s="2">
        <v>784</v>
      </c>
      <c r="J230" s="2">
        <v>736</v>
      </c>
      <c r="K230" s="2" t="s">
        <v>20</v>
      </c>
      <c r="L230" s="19">
        <f>SalesData!I230/SalesData!J230</f>
        <v>1.0652173913043479</v>
      </c>
    </row>
    <row r="231" spans="1:12" x14ac:dyDescent="0.25">
      <c r="A231" s="2">
        <v>1230</v>
      </c>
      <c r="B231" s="3">
        <v>45927</v>
      </c>
      <c r="C231" s="2" t="s">
        <v>28</v>
      </c>
      <c r="D231" s="2" t="s">
        <v>12</v>
      </c>
      <c r="E231" s="2" t="s">
        <v>33</v>
      </c>
      <c r="F231" s="2" t="s">
        <v>29</v>
      </c>
      <c r="G231" s="2">
        <v>7</v>
      </c>
      <c r="H231" s="2">
        <v>139</v>
      </c>
      <c r="I231" s="2">
        <v>973</v>
      </c>
      <c r="J231" s="2">
        <v>891</v>
      </c>
      <c r="K231" s="2" t="s">
        <v>15</v>
      </c>
      <c r="L231" s="19">
        <f>SalesData!I231/SalesData!J231</f>
        <v>1.0920314253647587</v>
      </c>
    </row>
    <row r="232" spans="1:12" x14ac:dyDescent="0.25">
      <c r="A232" s="2">
        <v>1231</v>
      </c>
      <c r="B232" s="3">
        <v>45985</v>
      </c>
      <c r="C232" s="2" t="s">
        <v>28</v>
      </c>
      <c r="D232" s="2" t="s">
        <v>12</v>
      </c>
      <c r="E232" s="2" t="s">
        <v>13</v>
      </c>
      <c r="F232" s="2" t="s">
        <v>29</v>
      </c>
      <c r="G232" s="2">
        <v>10</v>
      </c>
      <c r="H232" s="2">
        <v>56</v>
      </c>
      <c r="I232" s="2">
        <v>560</v>
      </c>
      <c r="J232" s="2">
        <v>624</v>
      </c>
      <c r="K232" s="2" t="s">
        <v>20</v>
      </c>
      <c r="L232" s="19">
        <f>SalesData!I232/SalesData!J232</f>
        <v>0.89743589743589747</v>
      </c>
    </row>
    <row r="233" spans="1:12" x14ac:dyDescent="0.25">
      <c r="A233" s="2">
        <v>1232</v>
      </c>
      <c r="B233" s="3">
        <v>45976</v>
      </c>
      <c r="C233" s="2" t="s">
        <v>11</v>
      </c>
      <c r="D233" s="2" t="s">
        <v>17</v>
      </c>
      <c r="E233" s="2" t="s">
        <v>30</v>
      </c>
      <c r="F233" s="2" t="s">
        <v>22</v>
      </c>
      <c r="G233" s="2">
        <v>8</v>
      </c>
      <c r="H233" s="2">
        <v>250</v>
      </c>
      <c r="I233" s="2">
        <v>2000</v>
      </c>
      <c r="J233" s="2">
        <v>1691</v>
      </c>
      <c r="K233" s="2" t="s">
        <v>15</v>
      </c>
      <c r="L233" s="19">
        <f>SalesData!I233/SalesData!J233</f>
        <v>1.1827321111768185</v>
      </c>
    </row>
    <row r="234" spans="1:12" x14ac:dyDescent="0.25">
      <c r="A234" s="2">
        <v>1233</v>
      </c>
      <c r="B234" s="3">
        <v>45984</v>
      </c>
      <c r="C234" s="2" t="s">
        <v>16</v>
      </c>
      <c r="D234" s="2" t="s">
        <v>23</v>
      </c>
      <c r="E234" s="2" t="s">
        <v>24</v>
      </c>
      <c r="F234" s="2" t="s">
        <v>32</v>
      </c>
      <c r="G234" s="2">
        <v>3</v>
      </c>
      <c r="H234" s="2">
        <v>376</v>
      </c>
      <c r="I234" s="2">
        <v>1128</v>
      </c>
      <c r="J234" s="2">
        <v>1149</v>
      </c>
      <c r="K234" s="2" t="s">
        <v>15</v>
      </c>
      <c r="L234" s="19">
        <f>SalesData!I234/SalesData!J234</f>
        <v>0.98172323759791125</v>
      </c>
    </row>
    <row r="235" spans="1:12" x14ac:dyDescent="0.25">
      <c r="A235" s="2">
        <v>1234</v>
      </c>
      <c r="B235" s="3">
        <v>45843</v>
      </c>
      <c r="C235" s="2" t="s">
        <v>11</v>
      </c>
      <c r="D235" s="2" t="s">
        <v>23</v>
      </c>
      <c r="E235" s="2" t="s">
        <v>35</v>
      </c>
      <c r="F235" s="2" t="s">
        <v>32</v>
      </c>
      <c r="G235" s="2">
        <v>6</v>
      </c>
      <c r="H235" s="2">
        <v>441</v>
      </c>
      <c r="I235" s="2">
        <v>2646</v>
      </c>
      <c r="J235" s="2">
        <v>3209</v>
      </c>
      <c r="K235" s="2" t="s">
        <v>20</v>
      </c>
      <c r="L235" s="19">
        <f>SalesData!I235/SalesData!J235</f>
        <v>0.82455593642879399</v>
      </c>
    </row>
    <row r="236" spans="1:12" x14ac:dyDescent="0.25">
      <c r="A236" s="2">
        <v>1235</v>
      </c>
      <c r="B236" s="3">
        <v>45827</v>
      </c>
      <c r="C236" s="2" t="s">
        <v>16</v>
      </c>
      <c r="D236" s="2" t="s">
        <v>23</v>
      </c>
      <c r="E236" s="2" t="s">
        <v>26</v>
      </c>
      <c r="F236" s="2" t="s">
        <v>14</v>
      </c>
      <c r="G236" s="2">
        <v>7</v>
      </c>
      <c r="H236" s="2">
        <v>310</v>
      </c>
      <c r="I236" s="2">
        <v>2170</v>
      </c>
      <c r="J236" s="2">
        <v>2511</v>
      </c>
      <c r="K236" s="2" t="s">
        <v>15</v>
      </c>
      <c r="L236" s="19">
        <f>SalesData!I236/SalesData!J236</f>
        <v>0.86419753086419748</v>
      </c>
    </row>
    <row r="237" spans="1:12" x14ac:dyDescent="0.25">
      <c r="A237" s="2">
        <v>1236</v>
      </c>
      <c r="B237" s="3">
        <v>45662</v>
      </c>
      <c r="C237" s="2" t="s">
        <v>11</v>
      </c>
      <c r="D237" s="2" t="s">
        <v>23</v>
      </c>
      <c r="E237" s="2" t="s">
        <v>35</v>
      </c>
      <c r="F237" s="2" t="s">
        <v>32</v>
      </c>
      <c r="G237" s="2">
        <v>6</v>
      </c>
      <c r="H237" s="2">
        <v>405</v>
      </c>
      <c r="I237" s="2">
        <v>2430</v>
      </c>
      <c r="J237" s="2">
        <v>2605</v>
      </c>
      <c r="K237" s="2" t="s">
        <v>15</v>
      </c>
      <c r="L237" s="19">
        <f>SalesData!I237/SalesData!J237</f>
        <v>0.93282149712092133</v>
      </c>
    </row>
    <row r="238" spans="1:12" x14ac:dyDescent="0.25">
      <c r="A238" s="2">
        <v>1237</v>
      </c>
      <c r="B238" s="3">
        <v>45720</v>
      </c>
      <c r="C238" s="2" t="s">
        <v>11</v>
      </c>
      <c r="D238" s="2" t="s">
        <v>12</v>
      </c>
      <c r="E238" s="2" t="s">
        <v>34</v>
      </c>
      <c r="F238" s="2" t="s">
        <v>14</v>
      </c>
      <c r="G238" s="2">
        <v>1</v>
      </c>
      <c r="H238" s="2">
        <v>425</v>
      </c>
      <c r="I238" s="2">
        <v>425</v>
      </c>
      <c r="J238" s="2">
        <v>481</v>
      </c>
      <c r="K238" s="2" t="s">
        <v>20</v>
      </c>
      <c r="L238" s="19">
        <f>SalesData!I238/SalesData!J238</f>
        <v>0.88357588357588357</v>
      </c>
    </row>
    <row r="239" spans="1:12" x14ac:dyDescent="0.25">
      <c r="A239" s="2">
        <v>1238</v>
      </c>
      <c r="B239" s="3">
        <v>45777</v>
      </c>
      <c r="C239" s="2" t="s">
        <v>16</v>
      </c>
      <c r="D239" s="2" t="s">
        <v>12</v>
      </c>
      <c r="E239" s="2" t="s">
        <v>21</v>
      </c>
      <c r="F239" s="2" t="s">
        <v>31</v>
      </c>
      <c r="G239" s="2">
        <v>1</v>
      </c>
      <c r="H239" s="2">
        <v>175</v>
      </c>
      <c r="I239" s="2">
        <v>175</v>
      </c>
      <c r="J239" s="2">
        <v>169</v>
      </c>
      <c r="K239" s="2" t="s">
        <v>15</v>
      </c>
      <c r="L239" s="19">
        <f>SalesData!I239/SalesData!J239</f>
        <v>1.0355029585798816</v>
      </c>
    </row>
    <row r="240" spans="1:12" x14ac:dyDescent="0.25">
      <c r="A240" s="2">
        <v>1239</v>
      </c>
      <c r="B240" s="3">
        <v>45833</v>
      </c>
      <c r="C240" s="2" t="s">
        <v>25</v>
      </c>
      <c r="D240" s="2" t="s">
        <v>17</v>
      </c>
      <c r="E240" s="2" t="s">
        <v>30</v>
      </c>
      <c r="F240" s="2" t="s">
        <v>29</v>
      </c>
      <c r="G240" s="2">
        <v>3</v>
      </c>
      <c r="H240" s="2">
        <v>150</v>
      </c>
      <c r="I240" s="2">
        <v>450</v>
      </c>
      <c r="J240" s="2">
        <v>441</v>
      </c>
      <c r="K240" s="2" t="s">
        <v>20</v>
      </c>
      <c r="L240" s="19">
        <f>SalesData!I240/SalesData!J240</f>
        <v>1.0204081632653061</v>
      </c>
    </row>
    <row r="241" spans="1:12" x14ac:dyDescent="0.25">
      <c r="A241" s="2">
        <v>1240</v>
      </c>
      <c r="B241" s="3">
        <v>45982</v>
      </c>
      <c r="C241" s="2" t="s">
        <v>16</v>
      </c>
      <c r="D241" s="2" t="s">
        <v>17</v>
      </c>
      <c r="E241" s="2" t="s">
        <v>30</v>
      </c>
      <c r="F241" s="2" t="s">
        <v>31</v>
      </c>
      <c r="G241" s="2">
        <v>7</v>
      </c>
      <c r="H241" s="2">
        <v>181</v>
      </c>
      <c r="I241" s="2">
        <v>1267</v>
      </c>
      <c r="J241" s="2">
        <v>1236</v>
      </c>
      <c r="K241" s="2" t="s">
        <v>20</v>
      </c>
      <c r="L241" s="19">
        <f>SalesData!I241/SalesData!J241</f>
        <v>1.0250809061488673</v>
      </c>
    </row>
    <row r="242" spans="1:12" x14ac:dyDescent="0.25">
      <c r="A242" s="2">
        <v>1241</v>
      </c>
      <c r="B242" s="3">
        <v>45810</v>
      </c>
      <c r="C242" s="2" t="s">
        <v>28</v>
      </c>
      <c r="D242" s="2" t="s">
        <v>17</v>
      </c>
      <c r="E242" s="2" t="s">
        <v>18</v>
      </c>
      <c r="F242" s="2" t="s">
        <v>22</v>
      </c>
      <c r="G242" s="2">
        <v>1</v>
      </c>
      <c r="H242" s="2">
        <v>55</v>
      </c>
      <c r="I242" s="2">
        <v>55</v>
      </c>
      <c r="J242" s="2">
        <v>60</v>
      </c>
      <c r="K242" s="2" t="s">
        <v>20</v>
      </c>
      <c r="L242" s="19">
        <f>SalesData!I242/SalesData!J242</f>
        <v>0.91666666666666663</v>
      </c>
    </row>
    <row r="243" spans="1:12" x14ac:dyDescent="0.25">
      <c r="A243" s="2">
        <v>1242</v>
      </c>
      <c r="B243" s="3">
        <v>45986</v>
      </c>
      <c r="C243" s="2" t="s">
        <v>11</v>
      </c>
      <c r="D243" s="2" t="s">
        <v>12</v>
      </c>
      <c r="E243" s="2" t="s">
        <v>34</v>
      </c>
      <c r="F243" s="2" t="s">
        <v>14</v>
      </c>
      <c r="G243" s="2">
        <v>6</v>
      </c>
      <c r="H243" s="2">
        <v>40</v>
      </c>
      <c r="I243" s="2">
        <v>240</v>
      </c>
      <c r="J243" s="2">
        <v>299</v>
      </c>
      <c r="K243" s="2" t="s">
        <v>20</v>
      </c>
      <c r="L243" s="19">
        <f>SalesData!I243/SalesData!J243</f>
        <v>0.80267558528428096</v>
      </c>
    </row>
    <row r="244" spans="1:12" x14ac:dyDescent="0.25">
      <c r="A244" s="2">
        <v>1243</v>
      </c>
      <c r="B244" s="3">
        <v>45806</v>
      </c>
      <c r="C244" s="2" t="s">
        <v>28</v>
      </c>
      <c r="D244" s="2" t="s">
        <v>17</v>
      </c>
      <c r="E244" s="2" t="s">
        <v>27</v>
      </c>
      <c r="F244" s="2" t="s">
        <v>22</v>
      </c>
      <c r="G244" s="2">
        <v>2</v>
      </c>
      <c r="H244" s="2">
        <v>72</v>
      </c>
      <c r="I244" s="2">
        <v>144</v>
      </c>
      <c r="J244" s="2">
        <v>176</v>
      </c>
      <c r="K244" s="2" t="s">
        <v>20</v>
      </c>
      <c r="L244" s="19">
        <f>SalesData!I244/SalesData!J244</f>
        <v>0.81818181818181823</v>
      </c>
    </row>
    <row r="245" spans="1:12" x14ac:dyDescent="0.25">
      <c r="A245" s="2">
        <v>1244</v>
      </c>
      <c r="B245" s="3">
        <v>45691</v>
      </c>
      <c r="C245" s="2" t="s">
        <v>28</v>
      </c>
      <c r="D245" s="2" t="s">
        <v>23</v>
      </c>
      <c r="E245" s="2" t="s">
        <v>26</v>
      </c>
      <c r="F245" s="2" t="s">
        <v>29</v>
      </c>
      <c r="G245" s="2">
        <v>2</v>
      </c>
      <c r="H245" s="2">
        <v>429</v>
      </c>
      <c r="I245" s="2">
        <v>858</v>
      </c>
      <c r="J245" s="2">
        <v>787</v>
      </c>
      <c r="K245" s="2" t="s">
        <v>15</v>
      </c>
      <c r="L245" s="19">
        <f>SalesData!I245/SalesData!J245</f>
        <v>1.0902160101651843</v>
      </c>
    </row>
    <row r="246" spans="1:12" x14ac:dyDescent="0.25">
      <c r="A246" s="2">
        <v>1245</v>
      </c>
      <c r="B246" s="3">
        <v>45999</v>
      </c>
      <c r="C246" s="2" t="s">
        <v>16</v>
      </c>
      <c r="D246" s="2" t="s">
        <v>12</v>
      </c>
      <c r="E246" s="2" t="s">
        <v>33</v>
      </c>
      <c r="F246" s="2" t="s">
        <v>22</v>
      </c>
      <c r="G246" s="2">
        <v>5</v>
      </c>
      <c r="H246" s="2">
        <v>166</v>
      </c>
      <c r="I246" s="2">
        <v>830</v>
      </c>
      <c r="J246" s="2">
        <v>825</v>
      </c>
      <c r="K246" s="2" t="s">
        <v>15</v>
      </c>
      <c r="L246" s="19">
        <f>SalesData!I246/SalesData!J246</f>
        <v>1.0060606060606061</v>
      </c>
    </row>
    <row r="247" spans="1:12" x14ac:dyDescent="0.25">
      <c r="A247" s="2">
        <v>1246</v>
      </c>
      <c r="B247" s="3">
        <v>45971</v>
      </c>
      <c r="C247" s="2" t="s">
        <v>25</v>
      </c>
      <c r="D247" s="2" t="s">
        <v>17</v>
      </c>
      <c r="E247" s="2" t="s">
        <v>27</v>
      </c>
      <c r="F247" s="2" t="s">
        <v>31</v>
      </c>
      <c r="G247" s="2">
        <v>3</v>
      </c>
      <c r="H247" s="2">
        <v>469</v>
      </c>
      <c r="I247" s="2">
        <v>1407</v>
      </c>
      <c r="J247" s="2">
        <v>1137</v>
      </c>
      <c r="K247" s="2" t="s">
        <v>15</v>
      </c>
      <c r="L247" s="19">
        <f>SalesData!I247/SalesData!J247</f>
        <v>1.237467018469657</v>
      </c>
    </row>
    <row r="248" spans="1:12" x14ac:dyDescent="0.25">
      <c r="A248" s="2">
        <v>1247</v>
      </c>
      <c r="B248" s="3">
        <v>45903</v>
      </c>
      <c r="C248" s="2" t="s">
        <v>25</v>
      </c>
      <c r="D248" s="2" t="s">
        <v>23</v>
      </c>
      <c r="E248" s="2" t="s">
        <v>26</v>
      </c>
      <c r="F248" s="2" t="s">
        <v>31</v>
      </c>
      <c r="G248" s="2">
        <v>2</v>
      </c>
      <c r="H248" s="2">
        <v>216</v>
      </c>
      <c r="I248" s="2">
        <v>432</v>
      </c>
      <c r="J248" s="2">
        <v>505</v>
      </c>
      <c r="K248" s="2" t="s">
        <v>15</v>
      </c>
      <c r="L248" s="19">
        <f>SalesData!I248/SalesData!J248</f>
        <v>0.85544554455445543</v>
      </c>
    </row>
    <row r="249" spans="1:12" x14ac:dyDescent="0.25">
      <c r="A249" s="2">
        <v>1248</v>
      </c>
      <c r="B249" s="3">
        <v>45856</v>
      </c>
      <c r="C249" s="2" t="s">
        <v>28</v>
      </c>
      <c r="D249" s="2" t="s">
        <v>17</v>
      </c>
      <c r="E249" s="2" t="s">
        <v>18</v>
      </c>
      <c r="F249" s="2" t="s">
        <v>22</v>
      </c>
      <c r="G249" s="2">
        <v>5</v>
      </c>
      <c r="H249" s="2">
        <v>393</v>
      </c>
      <c r="I249" s="2">
        <v>1965</v>
      </c>
      <c r="J249" s="2">
        <v>1949</v>
      </c>
      <c r="K249" s="2" t="s">
        <v>20</v>
      </c>
      <c r="L249" s="19">
        <f>SalesData!I249/SalesData!J249</f>
        <v>1.008209338122114</v>
      </c>
    </row>
    <row r="250" spans="1:12" x14ac:dyDescent="0.25">
      <c r="A250" s="2">
        <v>1249</v>
      </c>
      <c r="B250" s="3">
        <v>45914</v>
      </c>
      <c r="C250" s="2" t="s">
        <v>25</v>
      </c>
      <c r="D250" s="2" t="s">
        <v>23</v>
      </c>
      <c r="E250" s="2" t="s">
        <v>24</v>
      </c>
      <c r="F250" s="2" t="s">
        <v>22</v>
      </c>
      <c r="G250" s="2">
        <v>1</v>
      </c>
      <c r="H250" s="2">
        <v>246</v>
      </c>
      <c r="I250" s="2">
        <v>246</v>
      </c>
      <c r="J250" s="2">
        <v>217</v>
      </c>
      <c r="K250" s="2" t="s">
        <v>15</v>
      </c>
      <c r="L250" s="19">
        <f>SalesData!I250/SalesData!J250</f>
        <v>1.1336405529953917</v>
      </c>
    </row>
    <row r="251" spans="1:12" x14ac:dyDescent="0.25">
      <c r="A251" s="2">
        <v>1250</v>
      </c>
      <c r="B251" s="3">
        <v>45683</v>
      </c>
      <c r="C251" s="2" t="s">
        <v>28</v>
      </c>
      <c r="D251" s="2" t="s">
        <v>23</v>
      </c>
      <c r="E251" s="2" t="s">
        <v>35</v>
      </c>
      <c r="F251" s="2" t="s">
        <v>29</v>
      </c>
      <c r="G251" s="2">
        <v>2</v>
      </c>
      <c r="H251" s="2">
        <v>396</v>
      </c>
      <c r="I251" s="2">
        <v>792</v>
      </c>
      <c r="J251" s="2">
        <v>812</v>
      </c>
      <c r="K251" s="2" t="s">
        <v>20</v>
      </c>
      <c r="L251" s="19">
        <f>SalesData!I251/SalesData!J251</f>
        <v>0.97536945812807885</v>
      </c>
    </row>
    <row r="252" spans="1:12" x14ac:dyDescent="0.25">
      <c r="A252" s="2">
        <v>1251</v>
      </c>
      <c r="B252" s="3">
        <v>45673</v>
      </c>
      <c r="C252" s="2" t="s">
        <v>11</v>
      </c>
      <c r="D252" s="2" t="s">
        <v>17</v>
      </c>
      <c r="E252" s="2" t="s">
        <v>27</v>
      </c>
      <c r="F252" s="2" t="s">
        <v>32</v>
      </c>
      <c r="G252" s="2">
        <v>3</v>
      </c>
      <c r="H252" s="2">
        <v>147</v>
      </c>
      <c r="I252" s="2">
        <v>441</v>
      </c>
      <c r="J252" s="2">
        <v>431</v>
      </c>
      <c r="K252" s="2" t="s">
        <v>20</v>
      </c>
      <c r="L252" s="19">
        <f>SalesData!I252/SalesData!J252</f>
        <v>1.0232018561484919</v>
      </c>
    </row>
    <row r="253" spans="1:12" x14ac:dyDescent="0.25">
      <c r="A253" s="2">
        <v>1252</v>
      </c>
      <c r="B253" s="3">
        <v>45929</v>
      </c>
      <c r="C253" s="2" t="s">
        <v>28</v>
      </c>
      <c r="D253" s="2" t="s">
        <v>23</v>
      </c>
      <c r="E253" s="2" t="s">
        <v>26</v>
      </c>
      <c r="F253" s="2" t="s">
        <v>32</v>
      </c>
      <c r="G253" s="2">
        <v>1</v>
      </c>
      <c r="H253" s="2">
        <v>456</v>
      </c>
      <c r="I253" s="2">
        <v>456</v>
      </c>
      <c r="J253" s="2">
        <v>550</v>
      </c>
      <c r="K253" s="2" t="s">
        <v>20</v>
      </c>
      <c r="L253" s="19">
        <f>SalesData!I253/SalesData!J253</f>
        <v>0.8290909090909091</v>
      </c>
    </row>
    <row r="254" spans="1:12" x14ac:dyDescent="0.25">
      <c r="A254" s="2">
        <v>1253</v>
      </c>
      <c r="B254" s="3">
        <v>45695</v>
      </c>
      <c r="C254" s="2" t="s">
        <v>16</v>
      </c>
      <c r="D254" s="2" t="s">
        <v>17</v>
      </c>
      <c r="E254" s="2" t="s">
        <v>30</v>
      </c>
      <c r="F254" s="2" t="s">
        <v>19</v>
      </c>
      <c r="G254" s="2">
        <v>4</v>
      </c>
      <c r="H254" s="2">
        <v>269</v>
      </c>
      <c r="I254" s="2">
        <v>1076</v>
      </c>
      <c r="J254" s="2">
        <v>962</v>
      </c>
      <c r="K254" s="2" t="s">
        <v>20</v>
      </c>
      <c r="L254" s="19">
        <f>SalesData!I254/SalesData!J254</f>
        <v>1.1185031185031185</v>
      </c>
    </row>
    <row r="255" spans="1:12" x14ac:dyDescent="0.25">
      <c r="A255" s="2">
        <v>1254</v>
      </c>
      <c r="B255" s="3">
        <v>45859</v>
      </c>
      <c r="C255" s="2" t="s">
        <v>11</v>
      </c>
      <c r="D255" s="2" t="s">
        <v>17</v>
      </c>
      <c r="E255" s="2" t="s">
        <v>30</v>
      </c>
      <c r="F255" s="2" t="s">
        <v>31</v>
      </c>
      <c r="G255" s="2">
        <v>9</v>
      </c>
      <c r="H255" s="2">
        <v>134</v>
      </c>
      <c r="I255" s="2">
        <v>1206</v>
      </c>
      <c r="J255" s="2">
        <v>1159</v>
      </c>
      <c r="K255" s="2" t="s">
        <v>15</v>
      </c>
      <c r="L255" s="19">
        <f>SalesData!I255/SalesData!J255</f>
        <v>1.0405522001725624</v>
      </c>
    </row>
    <row r="256" spans="1:12" x14ac:dyDescent="0.25">
      <c r="A256" s="2">
        <v>1255</v>
      </c>
      <c r="B256" s="3">
        <v>45926</v>
      </c>
      <c r="C256" s="2" t="s">
        <v>25</v>
      </c>
      <c r="D256" s="2" t="s">
        <v>17</v>
      </c>
      <c r="E256" s="2" t="s">
        <v>30</v>
      </c>
      <c r="F256" s="2" t="s">
        <v>22</v>
      </c>
      <c r="G256" s="2">
        <v>8</v>
      </c>
      <c r="H256" s="2">
        <v>480</v>
      </c>
      <c r="I256" s="2">
        <v>3840</v>
      </c>
      <c r="J256" s="2">
        <v>4819</v>
      </c>
      <c r="K256" s="2" t="s">
        <v>20</v>
      </c>
      <c r="L256" s="19">
        <f>SalesData!I256/SalesData!J256</f>
        <v>0.79684581863457149</v>
      </c>
    </row>
    <row r="257" spans="1:12" x14ac:dyDescent="0.25">
      <c r="A257" s="2">
        <v>1256</v>
      </c>
      <c r="B257" s="3">
        <v>45666</v>
      </c>
      <c r="C257" s="2" t="s">
        <v>11</v>
      </c>
      <c r="D257" s="2" t="s">
        <v>12</v>
      </c>
      <c r="E257" s="2" t="s">
        <v>34</v>
      </c>
      <c r="F257" s="2" t="s">
        <v>19</v>
      </c>
      <c r="G257" s="2">
        <v>8</v>
      </c>
      <c r="H257" s="2">
        <v>249</v>
      </c>
      <c r="I257" s="2">
        <v>1992</v>
      </c>
      <c r="J257" s="2">
        <v>2267</v>
      </c>
      <c r="K257" s="2" t="s">
        <v>20</v>
      </c>
      <c r="L257" s="19">
        <f>SalesData!I257/SalesData!J257</f>
        <v>0.87869430966034412</v>
      </c>
    </row>
    <row r="258" spans="1:12" x14ac:dyDescent="0.25">
      <c r="A258" s="2">
        <v>1257</v>
      </c>
      <c r="B258" s="3">
        <v>45816</v>
      </c>
      <c r="C258" s="2" t="s">
        <v>25</v>
      </c>
      <c r="D258" s="2" t="s">
        <v>23</v>
      </c>
      <c r="E258" s="2" t="s">
        <v>24</v>
      </c>
      <c r="F258" s="2" t="s">
        <v>31</v>
      </c>
      <c r="G258" s="2">
        <v>2</v>
      </c>
      <c r="H258" s="2">
        <v>300</v>
      </c>
      <c r="I258" s="2">
        <v>600</v>
      </c>
      <c r="J258" s="2">
        <v>567</v>
      </c>
      <c r="K258" s="2" t="s">
        <v>15</v>
      </c>
      <c r="L258" s="19">
        <f>SalesData!I258/SalesData!J258</f>
        <v>1.0582010582010581</v>
      </c>
    </row>
    <row r="259" spans="1:12" x14ac:dyDescent="0.25">
      <c r="A259" s="2">
        <v>1258</v>
      </c>
      <c r="B259" s="3">
        <v>45739</v>
      </c>
      <c r="C259" s="2" t="s">
        <v>11</v>
      </c>
      <c r="D259" s="2" t="s">
        <v>12</v>
      </c>
      <c r="E259" s="2" t="s">
        <v>34</v>
      </c>
      <c r="F259" s="2" t="s">
        <v>22</v>
      </c>
      <c r="G259" s="2">
        <v>3</v>
      </c>
      <c r="H259" s="2">
        <v>422</v>
      </c>
      <c r="I259" s="2">
        <v>1266</v>
      </c>
      <c r="J259" s="2">
        <v>1096</v>
      </c>
      <c r="K259" s="2" t="s">
        <v>15</v>
      </c>
      <c r="L259" s="19">
        <f>SalesData!I259/SalesData!J259</f>
        <v>1.1551094890510949</v>
      </c>
    </row>
    <row r="260" spans="1:12" x14ac:dyDescent="0.25">
      <c r="A260" s="2">
        <v>1259</v>
      </c>
      <c r="B260" s="3">
        <v>45707</v>
      </c>
      <c r="C260" s="2" t="s">
        <v>25</v>
      </c>
      <c r="D260" s="2" t="s">
        <v>23</v>
      </c>
      <c r="E260" s="2" t="s">
        <v>35</v>
      </c>
      <c r="F260" s="2" t="s">
        <v>32</v>
      </c>
      <c r="G260" s="2">
        <v>5</v>
      </c>
      <c r="H260" s="2">
        <v>197</v>
      </c>
      <c r="I260" s="2">
        <v>985</v>
      </c>
      <c r="J260" s="2">
        <v>942</v>
      </c>
      <c r="K260" s="2" t="s">
        <v>15</v>
      </c>
      <c r="L260" s="19">
        <f>SalesData!I260/SalesData!J260</f>
        <v>1.045647558386412</v>
      </c>
    </row>
    <row r="261" spans="1:12" x14ac:dyDescent="0.25">
      <c r="A261" s="2">
        <v>1260</v>
      </c>
      <c r="B261" s="3">
        <v>45749</v>
      </c>
      <c r="C261" s="2" t="s">
        <v>25</v>
      </c>
      <c r="D261" s="2" t="s">
        <v>12</v>
      </c>
      <c r="E261" s="2" t="s">
        <v>21</v>
      </c>
      <c r="F261" s="2" t="s">
        <v>32</v>
      </c>
      <c r="G261" s="2">
        <v>3</v>
      </c>
      <c r="H261" s="2">
        <v>469</v>
      </c>
      <c r="I261" s="2">
        <v>1407</v>
      </c>
      <c r="J261" s="2">
        <v>1744</v>
      </c>
      <c r="K261" s="2" t="s">
        <v>15</v>
      </c>
      <c r="L261" s="19">
        <f>SalesData!I261/SalesData!J261</f>
        <v>0.80676605504587151</v>
      </c>
    </row>
    <row r="262" spans="1:12" x14ac:dyDescent="0.25">
      <c r="A262" s="2">
        <v>1261</v>
      </c>
      <c r="B262" s="3">
        <v>45864</v>
      </c>
      <c r="C262" s="2" t="s">
        <v>16</v>
      </c>
      <c r="D262" s="2" t="s">
        <v>17</v>
      </c>
      <c r="E262" s="2" t="s">
        <v>30</v>
      </c>
      <c r="F262" s="2" t="s">
        <v>14</v>
      </c>
      <c r="G262" s="2">
        <v>5</v>
      </c>
      <c r="H262" s="2">
        <v>14</v>
      </c>
      <c r="I262" s="2">
        <v>70</v>
      </c>
      <c r="J262" s="2">
        <v>71</v>
      </c>
      <c r="K262" s="2" t="s">
        <v>20</v>
      </c>
      <c r="L262" s="19">
        <f>SalesData!I262/SalesData!J262</f>
        <v>0.9859154929577465</v>
      </c>
    </row>
    <row r="263" spans="1:12" x14ac:dyDescent="0.25">
      <c r="A263" s="2">
        <v>1262</v>
      </c>
      <c r="B263" s="3">
        <v>45934</v>
      </c>
      <c r="C263" s="2" t="s">
        <v>25</v>
      </c>
      <c r="D263" s="2" t="s">
        <v>17</v>
      </c>
      <c r="E263" s="2" t="s">
        <v>27</v>
      </c>
      <c r="F263" s="2" t="s">
        <v>22</v>
      </c>
      <c r="G263" s="2">
        <v>4</v>
      </c>
      <c r="H263" s="2">
        <v>464</v>
      </c>
      <c r="I263" s="2">
        <v>1856</v>
      </c>
      <c r="J263" s="2">
        <v>2365</v>
      </c>
      <c r="K263" s="2" t="s">
        <v>15</v>
      </c>
      <c r="L263" s="19">
        <f>SalesData!I263/SalesData!J263</f>
        <v>0.78477801268498948</v>
      </c>
    </row>
    <row r="264" spans="1:12" x14ac:dyDescent="0.25">
      <c r="A264" s="2">
        <v>1263</v>
      </c>
      <c r="B264" s="3">
        <v>45778</v>
      </c>
      <c r="C264" s="2" t="s">
        <v>25</v>
      </c>
      <c r="D264" s="2" t="s">
        <v>17</v>
      </c>
      <c r="E264" s="2" t="s">
        <v>18</v>
      </c>
      <c r="F264" s="2" t="s">
        <v>31</v>
      </c>
      <c r="G264" s="2">
        <v>6</v>
      </c>
      <c r="H264" s="2">
        <v>170</v>
      </c>
      <c r="I264" s="2">
        <v>1020</v>
      </c>
      <c r="J264" s="2">
        <v>826</v>
      </c>
      <c r="K264" s="2" t="s">
        <v>15</v>
      </c>
      <c r="L264" s="19">
        <f>SalesData!I264/SalesData!J264</f>
        <v>1.2348668280871671</v>
      </c>
    </row>
    <row r="265" spans="1:12" x14ac:dyDescent="0.25">
      <c r="A265" s="2">
        <v>1264</v>
      </c>
      <c r="B265" s="3">
        <v>45984</v>
      </c>
      <c r="C265" s="2" t="s">
        <v>28</v>
      </c>
      <c r="D265" s="2" t="s">
        <v>23</v>
      </c>
      <c r="E265" s="2" t="s">
        <v>26</v>
      </c>
      <c r="F265" s="2" t="s">
        <v>19</v>
      </c>
      <c r="G265" s="2">
        <v>8</v>
      </c>
      <c r="H265" s="2">
        <v>51</v>
      </c>
      <c r="I265" s="2">
        <v>408</v>
      </c>
      <c r="J265" s="2">
        <v>422</v>
      </c>
      <c r="K265" s="2" t="s">
        <v>15</v>
      </c>
      <c r="L265" s="19">
        <f>SalesData!I265/SalesData!J265</f>
        <v>0.96682464454976302</v>
      </c>
    </row>
    <row r="266" spans="1:12" x14ac:dyDescent="0.25">
      <c r="A266" s="2">
        <v>1265</v>
      </c>
      <c r="B266" s="3">
        <v>45941</v>
      </c>
      <c r="C266" s="2" t="s">
        <v>11</v>
      </c>
      <c r="D266" s="2" t="s">
        <v>12</v>
      </c>
      <c r="E266" s="2" t="s">
        <v>13</v>
      </c>
      <c r="F266" s="2" t="s">
        <v>14</v>
      </c>
      <c r="G266" s="2">
        <v>6</v>
      </c>
      <c r="H266" s="2">
        <v>152</v>
      </c>
      <c r="I266" s="2">
        <v>912</v>
      </c>
      <c r="J266" s="2">
        <v>923</v>
      </c>
      <c r="K266" s="2" t="s">
        <v>20</v>
      </c>
      <c r="L266" s="19">
        <f>SalesData!I266/SalesData!J266</f>
        <v>0.98808234019501628</v>
      </c>
    </row>
    <row r="267" spans="1:12" x14ac:dyDescent="0.25">
      <c r="A267" s="2">
        <v>1266</v>
      </c>
      <c r="B267" s="3">
        <v>45900</v>
      </c>
      <c r="C267" s="2" t="s">
        <v>16</v>
      </c>
      <c r="D267" s="2" t="s">
        <v>17</v>
      </c>
      <c r="E267" s="2" t="s">
        <v>27</v>
      </c>
      <c r="F267" s="2" t="s">
        <v>31</v>
      </c>
      <c r="G267" s="2">
        <v>5</v>
      </c>
      <c r="H267" s="2">
        <v>177</v>
      </c>
      <c r="I267" s="2">
        <v>885</v>
      </c>
      <c r="J267" s="2">
        <v>1059</v>
      </c>
      <c r="K267" s="2" t="s">
        <v>15</v>
      </c>
      <c r="L267" s="19">
        <f>SalesData!I267/SalesData!J267</f>
        <v>0.8356940509915014</v>
      </c>
    </row>
    <row r="268" spans="1:12" x14ac:dyDescent="0.25">
      <c r="A268" s="2">
        <v>1267</v>
      </c>
      <c r="B268" s="3">
        <v>46010</v>
      </c>
      <c r="C268" s="2" t="s">
        <v>16</v>
      </c>
      <c r="D268" s="2" t="s">
        <v>17</v>
      </c>
      <c r="E268" s="2" t="s">
        <v>27</v>
      </c>
      <c r="F268" s="2" t="s">
        <v>22</v>
      </c>
      <c r="G268" s="2">
        <v>5</v>
      </c>
      <c r="H268" s="2">
        <v>464</v>
      </c>
      <c r="I268" s="2">
        <v>2320</v>
      </c>
      <c r="J268" s="2">
        <v>2845</v>
      </c>
      <c r="K268" s="2" t="s">
        <v>15</v>
      </c>
      <c r="L268" s="19">
        <f>SalesData!I268/SalesData!J268</f>
        <v>0.81546572934973638</v>
      </c>
    </row>
    <row r="269" spans="1:12" x14ac:dyDescent="0.25">
      <c r="A269" s="2">
        <v>1268</v>
      </c>
      <c r="B269" s="3">
        <v>45880</v>
      </c>
      <c r="C269" s="2" t="s">
        <v>11</v>
      </c>
      <c r="D269" s="2" t="s">
        <v>12</v>
      </c>
      <c r="E269" s="2" t="s">
        <v>34</v>
      </c>
      <c r="F269" s="2" t="s">
        <v>32</v>
      </c>
      <c r="G269" s="2">
        <v>6</v>
      </c>
      <c r="H269" s="2">
        <v>181</v>
      </c>
      <c r="I269" s="2">
        <v>1086</v>
      </c>
      <c r="J269" s="2">
        <v>1025</v>
      </c>
      <c r="K269" s="2" t="s">
        <v>20</v>
      </c>
      <c r="L269" s="19">
        <f>SalesData!I269/SalesData!J269</f>
        <v>1.0595121951219513</v>
      </c>
    </row>
    <row r="270" spans="1:12" x14ac:dyDescent="0.25">
      <c r="A270" s="2">
        <v>1269</v>
      </c>
      <c r="B270" s="3">
        <v>45920</v>
      </c>
      <c r="C270" s="2" t="s">
        <v>28</v>
      </c>
      <c r="D270" s="2" t="s">
        <v>17</v>
      </c>
      <c r="E270" s="2" t="s">
        <v>27</v>
      </c>
      <c r="F270" s="2" t="s">
        <v>14</v>
      </c>
      <c r="G270" s="2">
        <v>9</v>
      </c>
      <c r="H270" s="2">
        <v>102</v>
      </c>
      <c r="I270" s="2">
        <v>918</v>
      </c>
      <c r="J270" s="2">
        <v>738</v>
      </c>
      <c r="K270" s="2" t="s">
        <v>20</v>
      </c>
      <c r="L270" s="19">
        <f>SalesData!I270/SalesData!J270</f>
        <v>1.2439024390243902</v>
      </c>
    </row>
    <row r="271" spans="1:12" x14ac:dyDescent="0.25">
      <c r="A271" s="2">
        <v>1270</v>
      </c>
      <c r="B271" s="3">
        <v>45996</v>
      </c>
      <c r="C271" s="2" t="s">
        <v>11</v>
      </c>
      <c r="D271" s="2" t="s">
        <v>12</v>
      </c>
      <c r="E271" s="2" t="s">
        <v>13</v>
      </c>
      <c r="F271" s="2" t="s">
        <v>14</v>
      </c>
      <c r="G271" s="2">
        <v>8</v>
      </c>
      <c r="H271" s="2">
        <v>49</v>
      </c>
      <c r="I271" s="2">
        <v>392</v>
      </c>
      <c r="J271" s="2">
        <v>432</v>
      </c>
      <c r="K271" s="2" t="s">
        <v>15</v>
      </c>
      <c r="L271" s="19">
        <f>SalesData!I271/SalesData!J271</f>
        <v>0.90740740740740744</v>
      </c>
    </row>
    <row r="272" spans="1:12" x14ac:dyDescent="0.25">
      <c r="A272" s="2">
        <v>1271</v>
      </c>
      <c r="B272" s="3">
        <v>45909</v>
      </c>
      <c r="C272" s="2" t="s">
        <v>11</v>
      </c>
      <c r="D272" s="2" t="s">
        <v>12</v>
      </c>
      <c r="E272" s="2" t="s">
        <v>21</v>
      </c>
      <c r="F272" s="2" t="s">
        <v>31</v>
      </c>
      <c r="G272" s="2">
        <v>3</v>
      </c>
      <c r="H272" s="2">
        <v>447</v>
      </c>
      <c r="I272" s="2">
        <v>1341</v>
      </c>
      <c r="J272" s="2">
        <v>1073</v>
      </c>
      <c r="K272" s="2" t="s">
        <v>20</v>
      </c>
      <c r="L272" s="19">
        <f>SalesData!I272/SalesData!J272</f>
        <v>1.2497670083876979</v>
      </c>
    </row>
    <row r="273" spans="1:12" x14ac:dyDescent="0.25">
      <c r="A273" s="2">
        <v>1272</v>
      </c>
      <c r="B273" s="3">
        <v>45801</v>
      </c>
      <c r="C273" s="2" t="s">
        <v>16</v>
      </c>
      <c r="D273" s="2" t="s">
        <v>23</v>
      </c>
      <c r="E273" s="2" t="s">
        <v>35</v>
      </c>
      <c r="F273" s="2" t="s">
        <v>31</v>
      </c>
      <c r="G273" s="2">
        <v>6</v>
      </c>
      <c r="H273" s="2">
        <v>27</v>
      </c>
      <c r="I273" s="2">
        <v>162</v>
      </c>
      <c r="J273" s="2">
        <v>190</v>
      </c>
      <c r="K273" s="2" t="s">
        <v>15</v>
      </c>
      <c r="L273" s="19">
        <f>SalesData!I273/SalesData!J273</f>
        <v>0.85263157894736841</v>
      </c>
    </row>
    <row r="274" spans="1:12" x14ac:dyDescent="0.25">
      <c r="A274" s="2">
        <v>1273</v>
      </c>
      <c r="B274" s="3">
        <v>45680</v>
      </c>
      <c r="C274" s="2" t="s">
        <v>16</v>
      </c>
      <c r="D274" s="2" t="s">
        <v>12</v>
      </c>
      <c r="E274" s="2" t="s">
        <v>33</v>
      </c>
      <c r="F274" s="2" t="s">
        <v>29</v>
      </c>
      <c r="G274" s="2">
        <v>9</v>
      </c>
      <c r="H274" s="2">
        <v>454</v>
      </c>
      <c r="I274" s="2">
        <v>4086</v>
      </c>
      <c r="J274" s="2">
        <v>3629</v>
      </c>
      <c r="K274" s="2" t="s">
        <v>20</v>
      </c>
      <c r="L274" s="19">
        <f>SalesData!I274/SalesData!J274</f>
        <v>1.1259300082667401</v>
      </c>
    </row>
    <row r="275" spans="1:12" x14ac:dyDescent="0.25">
      <c r="A275" s="2">
        <v>1274</v>
      </c>
      <c r="B275" s="3">
        <v>46010</v>
      </c>
      <c r="C275" s="2" t="s">
        <v>25</v>
      </c>
      <c r="D275" s="2" t="s">
        <v>12</v>
      </c>
      <c r="E275" s="2" t="s">
        <v>33</v>
      </c>
      <c r="F275" s="2" t="s">
        <v>32</v>
      </c>
      <c r="G275" s="2">
        <v>6</v>
      </c>
      <c r="H275" s="2">
        <v>322</v>
      </c>
      <c r="I275" s="2">
        <v>1932</v>
      </c>
      <c r="J275" s="2">
        <v>1761</v>
      </c>
      <c r="K275" s="2" t="s">
        <v>20</v>
      </c>
      <c r="L275" s="19">
        <f>SalesData!I275/SalesData!J275</f>
        <v>1.0971039182282794</v>
      </c>
    </row>
    <row r="276" spans="1:12" x14ac:dyDescent="0.25">
      <c r="A276" s="2">
        <v>1275</v>
      </c>
      <c r="B276" s="3">
        <v>45902</v>
      </c>
      <c r="C276" s="2" t="s">
        <v>28</v>
      </c>
      <c r="D276" s="2" t="s">
        <v>12</v>
      </c>
      <c r="E276" s="2" t="s">
        <v>21</v>
      </c>
      <c r="F276" s="2" t="s">
        <v>22</v>
      </c>
      <c r="G276" s="2">
        <v>8</v>
      </c>
      <c r="H276" s="2">
        <v>42</v>
      </c>
      <c r="I276" s="2">
        <v>336</v>
      </c>
      <c r="J276" s="2">
        <v>354</v>
      </c>
      <c r="K276" s="2" t="s">
        <v>20</v>
      </c>
      <c r="L276" s="19">
        <f>SalesData!I276/SalesData!J276</f>
        <v>0.94915254237288138</v>
      </c>
    </row>
    <row r="277" spans="1:12" x14ac:dyDescent="0.25">
      <c r="A277" s="2">
        <v>1276</v>
      </c>
      <c r="B277" s="3">
        <v>45796</v>
      </c>
      <c r="C277" s="2" t="s">
        <v>11</v>
      </c>
      <c r="D277" s="2" t="s">
        <v>12</v>
      </c>
      <c r="E277" s="2" t="s">
        <v>33</v>
      </c>
      <c r="F277" s="2" t="s">
        <v>22</v>
      </c>
      <c r="G277" s="2">
        <v>2</v>
      </c>
      <c r="H277" s="2">
        <v>361</v>
      </c>
      <c r="I277" s="2">
        <v>722</v>
      </c>
      <c r="J277" s="2">
        <v>660</v>
      </c>
      <c r="K277" s="2" t="s">
        <v>15</v>
      </c>
      <c r="L277" s="19">
        <f>SalesData!I277/SalesData!J277</f>
        <v>1.093939393939394</v>
      </c>
    </row>
    <row r="278" spans="1:12" x14ac:dyDescent="0.25">
      <c r="A278" s="2">
        <v>1277</v>
      </c>
      <c r="B278" s="3">
        <v>45974</v>
      </c>
      <c r="C278" s="2" t="s">
        <v>25</v>
      </c>
      <c r="D278" s="2" t="s">
        <v>17</v>
      </c>
      <c r="E278" s="2" t="s">
        <v>27</v>
      </c>
      <c r="F278" s="2" t="s">
        <v>32</v>
      </c>
      <c r="G278" s="2">
        <v>7</v>
      </c>
      <c r="H278" s="2">
        <v>23</v>
      </c>
      <c r="I278" s="2">
        <v>161</v>
      </c>
      <c r="J278" s="2">
        <v>206</v>
      </c>
      <c r="K278" s="2" t="s">
        <v>15</v>
      </c>
      <c r="L278" s="19">
        <f>SalesData!I278/SalesData!J278</f>
        <v>0.78155339805825241</v>
      </c>
    </row>
    <row r="279" spans="1:12" x14ac:dyDescent="0.25">
      <c r="A279" s="2">
        <v>1278</v>
      </c>
      <c r="B279" s="3">
        <v>45867</v>
      </c>
      <c r="C279" s="2" t="s">
        <v>28</v>
      </c>
      <c r="D279" s="2" t="s">
        <v>17</v>
      </c>
      <c r="E279" s="2" t="s">
        <v>18</v>
      </c>
      <c r="F279" s="2" t="s">
        <v>32</v>
      </c>
      <c r="G279" s="2">
        <v>10</v>
      </c>
      <c r="H279" s="2">
        <v>307</v>
      </c>
      <c r="I279" s="2">
        <v>3070</v>
      </c>
      <c r="J279" s="2">
        <v>3018</v>
      </c>
      <c r="K279" s="2" t="s">
        <v>15</v>
      </c>
      <c r="L279" s="19">
        <f>SalesData!I279/SalesData!J279</f>
        <v>1.0172299536116634</v>
      </c>
    </row>
    <row r="280" spans="1:12" x14ac:dyDescent="0.25">
      <c r="A280" s="2">
        <v>1279</v>
      </c>
      <c r="B280" s="3">
        <v>45963</v>
      </c>
      <c r="C280" s="2" t="s">
        <v>16</v>
      </c>
      <c r="D280" s="2" t="s">
        <v>17</v>
      </c>
      <c r="E280" s="2" t="s">
        <v>18</v>
      </c>
      <c r="F280" s="2" t="s">
        <v>32</v>
      </c>
      <c r="G280" s="2">
        <v>10</v>
      </c>
      <c r="H280" s="2">
        <v>255</v>
      </c>
      <c r="I280" s="2">
        <v>2550</v>
      </c>
      <c r="J280" s="2">
        <v>2901</v>
      </c>
      <c r="K280" s="2" t="s">
        <v>15</v>
      </c>
      <c r="L280" s="19">
        <f>SalesData!I280/SalesData!J280</f>
        <v>0.87900723888314369</v>
      </c>
    </row>
    <row r="281" spans="1:12" x14ac:dyDescent="0.25">
      <c r="A281" s="2">
        <v>1280</v>
      </c>
      <c r="B281" s="3">
        <v>46006</v>
      </c>
      <c r="C281" s="2" t="s">
        <v>25</v>
      </c>
      <c r="D281" s="2" t="s">
        <v>12</v>
      </c>
      <c r="E281" s="2" t="s">
        <v>21</v>
      </c>
      <c r="F281" s="2" t="s">
        <v>29</v>
      </c>
      <c r="G281" s="2">
        <v>10</v>
      </c>
      <c r="H281" s="2">
        <v>120</v>
      </c>
      <c r="I281" s="2">
        <v>1200</v>
      </c>
      <c r="J281" s="2">
        <v>1350</v>
      </c>
      <c r="K281" s="2" t="s">
        <v>15</v>
      </c>
      <c r="L281" s="19">
        <f>SalesData!I281/SalesData!J281</f>
        <v>0.88888888888888884</v>
      </c>
    </row>
    <row r="282" spans="1:12" x14ac:dyDescent="0.25">
      <c r="A282" s="2">
        <v>1281</v>
      </c>
      <c r="B282" s="3">
        <v>45718</v>
      </c>
      <c r="C282" s="2" t="s">
        <v>25</v>
      </c>
      <c r="D282" s="2" t="s">
        <v>23</v>
      </c>
      <c r="E282" s="2" t="s">
        <v>24</v>
      </c>
      <c r="F282" s="2" t="s">
        <v>14</v>
      </c>
      <c r="G282" s="2">
        <v>10</v>
      </c>
      <c r="H282" s="2">
        <v>254</v>
      </c>
      <c r="I282" s="2">
        <v>2540</v>
      </c>
      <c r="J282" s="2">
        <v>2766</v>
      </c>
      <c r="K282" s="2" t="s">
        <v>15</v>
      </c>
      <c r="L282" s="19">
        <f>SalesData!I282/SalesData!J282</f>
        <v>0.91829356471438905</v>
      </c>
    </row>
    <row r="283" spans="1:12" x14ac:dyDescent="0.25">
      <c r="A283" s="2">
        <v>1282</v>
      </c>
      <c r="B283" s="3">
        <v>45660</v>
      </c>
      <c r="C283" s="2" t="s">
        <v>11</v>
      </c>
      <c r="D283" s="2" t="s">
        <v>17</v>
      </c>
      <c r="E283" s="2" t="s">
        <v>27</v>
      </c>
      <c r="F283" s="2" t="s">
        <v>29</v>
      </c>
      <c r="G283" s="2">
        <v>6</v>
      </c>
      <c r="H283" s="2">
        <v>206</v>
      </c>
      <c r="I283" s="2">
        <v>1236</v>
      </c>
      <c r="J283" s="2">
        <v>1306</v>
      </c>
      <c r="K283" s="2" t="s">
        <v>15</v>
      </c>
      <c r="L283" s="19">
        <f>SalesData!I283/SalesData!J283</f>
        <v>0.94640122511485447</v>
      </c>
    </row>
    <row r="284" spans="1:12" x14ac:dyDescent="0.25">
      <c r="A284" s="2">
        <v>1283</v>
      </c>
      <c r="B284" s="3">
        <v>45702</v>
      </c>
      <c r="C284" s="2" t="s">
        <v>16</v>
      </c>
      <c r="D284" s="2" t="s">
        <v>23</v>
      </c>
      <c r="E284" s="2" t="s">
        <v>35</v>
      </c>
      <c r="F284" s="2" t="s">
        <v>14</v>
      </c>
      <c r="G284" s="2">
        <v>6</v>
      </c>
      <c r="H284" s="2">
        <v>79</v>
      </c>
      <c r="I284" s="2">
        <v>474</v>
      </c>
      <c r="J284" s="2">
        <v>570</v>
      </c>
      <c r="K284" s="2" t="s">
        <v>20</v>
      </c>
      <c r="L284" s="19">
        <f>SalesData!I284/SalesData!J284</f>
        <v>0.83157894736842108</v>
      </c>
    </row>
    <row r="285" spans="1:12" x14ac:dyDescent="0.25">
      <c r="A285" s="2">
        <v>1284</v>
      </c>
      <c r="B285" s="3">
        <v>45762</v>
      </c>
      <c r="C285" s="2" t="s">
        <v>16</v>
      </c>
      <c r="D285" s="2" t="s">
        <v>17</v>
      </c>
      <c r="E285" s="2" t="s">
        <v>30</v>
      </c>
      <c r="F285" s="2" t="s">
        <v>32</v>
      </c>
      <c r="G285" s="2">
        <v>1</v>
      </c>
      <c r="H285" s="2">
        <v>455</v>
      </c>
      <c r="I285" s="2">
        <v>455</v>
      </c>
      <c r="J285" s="2">
        <v>487</v>
      </c>
      <c r="K285" s="2" t="s">
        <v>15</v>
      </c>
      <c r="L285" s="19">
        <f>SalesData!I285/SalesData!J285</f>
        <v>0.93429158110882959</v>
      </c>
    </row>
    <row r="286" spans="1:12" x14ac:dyDescent="0.25">
      <c r="A286" s="2">
        <v>1285</v>
      </c>
      <c r="B286" s="3">
        <v>45897</v>
      </c>
      <c r="C286" s="2" t="s">
        <v>28</v>
      </c>
      <c r="D286" s="2" t="s">
        <v>23</v>
      </c>
      <c r="E286" s="2" t="s">
        <v>35</v>
      </c>
      <c r="F286" s="2" t="s">
        <v>31</v>
      </c>
      <c r="G286" s="2">
        <v>9</v>
      </c>
      <c r="H286" s="2">
        <v>338</v>
      </c>
      <c r="I286" s="2">
        <v>3042</v>
      </c>
      <c r="J286" s="2">
        <v>3099</v>
      </c>
      <c r="K286" s="2" t="s">
        <v>15</v>
      </c>
      <c r="L286" s="19">
        <f>SalesData!I286/SalesData!J286</f>
        <v>0.98160696999031949</v>
      </c>
    </row>
    <row r="287" spans="1:12" x14ac:dyDescent="0.25">
      <c r="A287" s="2">
        <v>1286</v>
      </c>
      <c r="B287" s="3">
        <v>45747</v>
      </c>
      <c r="C287" s="2" t="s">
        <v>11</v>
      </c>
      <c r="D287" s="2" t="s">
        <v>23</v>
      </c>
      <c r="E287" s="2" t="s">
        <v>24</v>
      </c>
      <c r="F287" s="2" t="s">
        <v>14</v>
      </c>
      <c r="G287" s="2">
        <v>2</v>
      </c>
      <c r="H287" s="2">
        <v>207</v>
      </c>
      <c r="I287" s="2">
        <v>414</v>
      </c>
      <c r="J287" s="2">
        <v>436</v>
      </c>
      <c r="K287" s="2" t="s">
        <v>15</v>
      </c>
      <c r="L287" s="19">
        <f>SalesData!I287/SalesData!J287</f>
        <v>0.94954128440366969</v>
      </c>
    </row>
    <row r="288" spans="1:12" x14ac:dyDescent="0.25">
      <c r="A288" s="2">
        <v>1287</v>
      </c>
      <c r="B288" s="3">
        <v>45984</v>
      </c>
      <c r="C288" s="2" t="s">
        <v>11</v>
      </c>
      <c r="D288" s="2" t="s">
        <v>17</v>
      </c>
      <c r="E288" s="2" t="s">
        <v>18</v>
      </c>
      <c r="F288" s="2" t="s">
        <v>32</v>
      </c>
      <c r="G288" s="2">
        <v>9</v>
      </c>
      <c r="H288" s="2">
        <v>26</v>
      </c>
      <c r="I288" s="2">
        <v>234</v>
      </c>
      <c r="J288" s="2">
        <v>276</v>
      </c>
      <c r="K288" s="2" t="s">
        <v>15</v>
      </c>
      <c r="L288" s="19">
        <f>SalesData!I288/SalesData!J288</f>
        <v>0.84782608695652173</v>
      </c>
    </row>
    <row r="289" spans="1:12" x14ac:dyDescent="0.25">
      <c r="A289" s="2">
        <v>1288</v>
      </c>
      <c r="B289" s="3">
        <v>45819</v>
      </c>
      <c r="C289" s="2" t="s">
        <v>25</v>
      </c>
      <c r="D289" s="2" t="s">
        <v>23</v>
      </c>
      <c r="E289" s="2" t="s">
        <v>24</v>
      </c>
      <c r="F289" s="2" t="s">
        <v>29</v>
      </c>
      <c r="G289" s="2">
        <v>8</v>
      </c>
      <c r="H289" s="2">
        <v>334</v>
      </c>
      <c r="I289" s="2">
        <v>2672</v>
      </c>
      <c r="J289" s="2">
        <v>2260</v>
      </c>
      <c r="K289" s="2" t="s">
        <v>20</v>
      </c>
      <c r="L289" s="19">
        <f>SalesData!I289/SalesData!J289</f>
        <v>1.1823008849557521</v>
      </c>
    </row>
    <row r="290" spans="1:12" x14ac:dyDescent="0.25">
      <c r="A290" s="2">
        <v>1289</v>
      </c>
      <c r="B290" s="3">
        <v>45950</v>
      </c>
      <c r="C290" s="2" t="s">
        <v>11</v>
      </c>
      <c r="D290" s="2" t="s">
        <v>17</v>
      </c>
      <c r="E290" s="2" t="s">
        <v>18</v>
      </c>
      <c r="F290" s="2" t="s">
        <v>14</v>
      </c>
      <c r="G290" s="2">
        <v>10</v>
      </c>
      <c r="H290" s="2">
        <v>240</v>
      </c>
      <c r="I290" s="2">
        <v>2400</v>
      </c>
      <c r="J290" s="2">
        <v>2991</v>
      </c>
      <c r="K290" s="2" t="s">
        <v>20</v>
      </c>
      <c r="L290" s="19">
        <f>SalesData!I290/SalesData!J290</f>
        <v>0.80240722166499501</v>
      </c>
    </row>
    <row r="291" spans="1:12" x14ac:dyDescent="0.25">
      <c r="A291" s="2">
        <v>1290</v>
      </c>
      <c r="B291" s="3">
        <v>45969</v>
      </c>
      <c r="C291" s="2" t="s">
        <v>11</v>
      </c>
      <c r="D291" s="2" t="s">
        <v>17</v>
      </c>
      <c r="E291" s="2" t="s">
        <v>30</v>
      </c>
      <c r="F291" s="2" t="s">
        <v>32</v>
      </c>
      <c r="G291" s="2">
        <v>1</v>
      </c>
      <c r="H291" s="2">
        <v>433</v>
      </c>
      <c r="I291" s="2">
        <v>433</v>
      </c>
      <c r="J291" s="2">
        <v>352</v>
      </c>
      <c r="K291" s="2" t="s">
        <v>20</v>
      </c>
      <c r="L291" s="19">
        <f>SalesData!I291/SalesData!J291</f>
        <v>1.2301136363636365</v>
      </c>
    </row>
    <row r="292" spans="1:12" x14ac:dyDescent="0.25">
      <c r="A292" s="2">
        <v>1291</v>
      </c>
      <c r="B292" s="3">
        <v>45894</v>
      </c>
      <c r="C292" s="2" t="s">
        <v>25</v>
      </c>
      <c r="D292" s="2" t="s">
        <v>17</v>
      </c>
      <c r="E292" s="2" t="s">
        <v>27</v>
      </c>
      <c r="F292" s="2" t="s">
        <v>29</v>
      </c>
      <c r="G292" s="2">
        <v>3</v>
      </c>
      <c r="H292" s="2">
        <v>225</v>
      </c>
      <c r="I292" s="2">
        <v>675</v>
      </c>
      <c r="J292" s="2">
        <v>558</v>
      </c>
      <c r="K292" s="2" t="s">
        <v>20</v>
      </c>
      <c r="L292" s="19">
        <f>SalesData!I292/SalesData!J292</f>
        <v>1.2096774193548387</v>
      </c>
    </row>
    <row r="293" spans="1:12" x14ac:dyDescent="0.25">
      <c r="A293" s="2">
        <v>1292</v>
      </c>
      <c r="B293" s="3">
        <v>45675</v>
      </c>
      <c r="C293" s="2" t="s">
        <v>25</v>
      </c>
      <c r="D293" s="2" t="s">
        <v>17</v>
      </c>
      <c r="E293" s="2" t="s">
        <v>30</v>
      </c>
      <c r="F293" s="2" t="s">
        <v>31</v>
      </c>
      <c r="G293" s="2">
        <v>9</v>
      </c>
      <c r="H293" s="2">
        <v>471</v>
      </c>
      <c r="I293" s="2">
        <v>4239</v>
      </c>
      <c r="J293" s="2">
        <v>4242</v>
      </c>
      <c r="K293" s="2" t="s">
        <v>15</v>
      </c>
      <c r="L293" s="19">
        <f>SalesData!I293/SalesData!J293</f>
        <v>0.99929278642149932</v>
      </c>
    </row>
    <row r="294" spans="1:12" x14ac:dyDescent="0.25">
      <c r="A294" s="2">
        <v>1293</v>
      </c>
      <c r="B294" s="3">
        <v>45921</v>
      </c>
      <c r="C294" s="2" t="s">
        <v>25</v>
      </c>
      <c r="D294" s="2" t="s">
        <v>12</v>
      </c>
      <c r="E294" s="2" t="s">
        <v>13</v>
      </c>
      <c r="F294" s="2" t="s">
        <v>32</v>
      </c>
      <c r="G294" s="2">
        <v>5</v>
      </c>
      <c r="H294" s="2">
        <v>66</v>
      </c>
      <c r="I294" s="2">
        <v>330</v>
      </c>
      <c r="J294" s="2">
        <v>366</v>
      </c>
      <c r="K294" s="2" t="s">
        <v>15</v>
      </c>
      <c r="L294" s="19">
        <f>SalesData!I294/SalesData!J294</f>
        <v>0.90163934426229508</v>
      </c>
    </row>
    <row r="295" spans="1:12" x14ac:dyDescent="0.25">
      <c r="A295" s="2">
        <v>1294</v>
      </c>
      <c r="B295" s="3">
        <v>45808</v>
      </c>
      <c r="C295" s="2" t="s">
        <v>11</v>
      </c>
      <c r="D295" s="2" t="s">
        <v>17</v>
      </c>
      <c r="E295" s="2" t="s">
        <v>18</v>
      </c>
      <c r="F295" s="2" t="s">
        <v>14</v>
      </c>
      <c r="G295" s="2">
        <v>3</v>
      </c>
      <c r="H295" s="2">
        <v>407</v>
      </c>
      <c r="I295" s="2">
        <v>1221</v>
      </c>
      <c r="J295" s="2">
        <v>1332</v>
      </c>
      <c r="K295" s="2" t="s">
        <v>20</v>
      </c>
      <c r="L295" s="19">
        <f>SalesData!I295/SalesData!J295</f>
        <v>0.91666666666666663</v>
      </c>
    </row>
    <row r="296" spans="1:12" x14ac:dyDescent="0.25">
      <c r="A296" s="2">
        <v>1295</v>
      </c>
      <c r="B296" s="3">
        <v>45659</v>
      </c>
      <c r="C296" s="2" t="s">
        <v>28</v>
      </c>
      <c r="D296" s="2" t="s">
        <v>17</v>
      </c>
      <c r="E296" s="2" t="s">
        <v>27</v>
      </c>
      <c r="F296" s="2" t="s">
        <v>19</v>
      </c>
      <c r="G296" s="2">
        <v>9</v>
      </c>
      <c r="H296" s="2">
        <v>196</v>
      </c>
      <c r="I296" s="2">
        <v>1764</v>
      </c>
      <c r="J296" s="2">
        <v>1933</v>
      </c>
      <c r="K296" s="2" t="s">
        <v>20</v>
      </c>
      <c r="L296" s="19">
        <f>SalesData!I296/SalesData!J296</f>
        <v>0.91257113295395753</v>
      </c>
    </row>
    <row r="297" spans="1:12" x14ac:dyDescent="0.25">
      <c r="A297" s="2">
        <v>1296</v>
      </c>
      <c r="B297" s="3">
        <v>45692</v>
      </c>
      <c r="C297" s="2" t="s">
        <v>25</v>
      </c>
      <c r="D297" s="2" t="s">
        <v>23</v>
      </c>
      <c r="E297" s="2" t="s">
        <v>26</v>
      </c>
      <c r="F297" s="2" t="s">
        <v>29</v>
      </c>
      <c r="G297" s="2">
        <v>4</v>
      </c>
      <c r="H297" s="2">
        <v>37</v>
      </c>
      <c r="I297" s="2">
        <v>148</v>
      </c>
      <c r="J297" s="2">
        <v>120</v>
      </c>
      <c r="K297" s="2" t="s">
        <v>20</v>
      </c>
      <c r="L297" s="19">
        <f>SalesData!I297/SalesData!J297</f>
        <v>1.2333333333333334</v>
      </c>
    </row>
    <row r="298" spans="1:12" x14ac:dyDescent="0.25">
      <c r="A298" s="2">
        <v>1297</v>
      </c>
      <c r="B298" s="3">
        <v>45774</v>
      </c>
      <c r="C298" s="2" t="s">
        <v>11</v>
      </c>
      <c r="D298" s="2" t="s">
        <v>17</v>
      </c>
      <c r="E298" s="2" t="s">
        <v>27</v>
      </c>
      <c r="F298" s="2" t="s">
        <v>14</v>
      </c>
      <c r="G298" s="2">
        <v>5</v>
      </c>
      <c r="H298" s="2">
        <v>485</v>
      </c>
      <c r="I298" s="2">
        <v>2425</v>
      </c>
      <c r="J298" s="2">
        <v>2514</v>
      </c>
      <c r="K298" s="2" t="s">
        <v>15</v>
      </c>
      <c r="L298" s="19">
        <f>SalesData!I298/SalesData!J298</f>
        <v>0.96459824980111375</v>
      </c>
    </row>
    <row r="299" spans="1:12" x14ac:dyDescent="0.25">
      <c r="A299" s="2">
        <v>1298</v>
      </c>
      <c r="B299" s="3">
        <v>45949</v>
      </c>
      <c r="C299" s="2" t="s">
        <v>25</v>
      </c>
      <c r="D299" s="2" t="s">
        <v>23</v>
      </c>
      <c r="E299" s="2" t="s">
        <v>35</v>
      </c>
      <c r="F299" s="2" t="s">
        <v>32</v>
      </c>
      <c r="G299" s="2">
        <v>2</v>
      </c>
      <c r="H299" s="2">
        <v>164</v>
      </c>
      <c r="I299" s="2">
        <v>328</v>
      </c>
      <c r="J299" s="2">
        <v>367</v>
      </c>
      <c r="K299" s="2" t="s">
        <v>15</v>
      </c>
      <c r="L299" s="19">
        <f>SalesData!I299/SalesData!J299</f>
        <v>0.89373297002724794</v>
      </c>
    </row>
    <row r="300" spans="1:12" x14ac:dyDescent="0.25">
      <c r="A300" s="2">
        <v>1299</v>
      </c>
      <c r="B300" s="3">
        <v>45691</v>
      </c>
      <c r="C300" s="2" t="s">
        <v>28</v>
      </c>
      <c r="D300" s="2" t="s">
        <v>12</v>
      </c>
      <c r="E300" s="2" t="s">
        <v>13</v>
      </c>
      <c r="F300" s="2" t="s">
        <v>14</v>
      </c>
      <c r="G300" s="2">
        <v>3</v>
      </c>
      <c r="H300" s="2">
        <v>318</v>
      </c>
      <c r="I300" s="2">
        <v>954</v>
      </c>
      <c r="J300" s="2">
        <v>1075</v>
      </c>
      <c r="K300" s="2" t="s">
        <v>20</v>
      </c>
      <c r="L300" s="19">
        <f>SalesData!I300/SalesData!J300</f>
        <v>0.88744186046511631</v>
      </c>
    </row>
    <row r="301" spans="1:12" x14ac:dyDescent="0.25">
      <c r="A301" s="2">
        <v>1300</v>
      </c>
      <c r="B301" s="3">
        <v>45913</v>
      </c>
      <c r="C301" s="2" t="s">
        <v>11</v>
      </c>
      <c r="D301" s="2" t="s">
        <v>17</v>
      </c>
      <c r="E301" s="2" t="s">
        <v>30</v>
      </c>
      <c r="F301" s="2" t="s">
        <v>29</v>
      </c>
      <c r="G301" s="2">
        <v>3</v>
      </c>
      <c r="H301" s="2">
        <v>216</v>
      </c>
      <c r="I301" s="2">
        <v>648</v>
      </c>
      <c r="J301" s="2">
        <v>650</v>
      </c>
      <c r="K301" s="2" t="s">
        <v>20</v>
      </c>
      <c r="L301" s="19">
        <f>SalesData!I301/SalesData!J301</f>
        <v>0.99692307692307691</v>
      </c>
    </row>
    <row r="302" spans="1:12" x14ac:dyDescent="0.25">
      <c r="A302" s="2">
        <v>1301</v>
      </c>
      <c r="B302" s="3">
        <v>45899</v>
      </c>
      <c r="C302" s="2" t="s">
        <v>16</v>
      </c>
      <c r="D302" s="2" t="s">
        <v>12</v>
      </c>
      <c r="E302" s="2" t="s">
        <v>34</v>
      </c>
      <c r="F302" s="2" t="s">
        <v>29</v>
      </c>
      <c r="G302" s="2">
        <v>6</v>
      </c>
      <c r="H302" s="2">
        <v>252</v>
      </c>
      <c r="I302" s="2">
        <v>1512</v>
      </c>
      <c r="J302" s="2">
        <v>1554</v>
      </c>
      <c r="K302" s="2" t="s">
        <v>15</v>
      </c>
      <c r="L302" s="19">
        <f>SalesData!I302/SalesData!J302</f>
        <v>0.97297297297297303</v>
      </c>
    </row>
    <row r="303" spans="1:12" x14ac:dyDescent="0.25">
      <c r="A303" s="2">
        <v>1302</v>
      </c>
      <c r="B303" s="3">
        <v>45882</v>
      </c>
      <c r="C303" s="2" t="s">
        <v>16</v>
      </c>
      <c r="D303" s="2" t="s">
        <v>17</v>
      </c>
      <c r="E303" s="2" t="s">
        <v>30</v>
      </c>
      <c r="F303" s="2" t="s">
        <v>32</v>
      </c>
      <c r="G303" s="2">
        <v>6</v>
      </c>
      <c r="H303" s="2">
        <v>421</v>
      </c>
      <c r="I303" s="2">
        <v>2526</v>
      </c>
      <c r="J303" s="2">
        <v>2451</v>
      </c>
      <c r="K303" s="2" t="s">
        <v>15</v>
      </c>
      <c r="L303" s="19">
        <f>SalesData!I303/SalesData!J303</f>
        <v>1.0305997552019583</v>
      </c>
    </row>
    <row r="304" spans="1:12" x14ac:dyDescent="0.25">
      <c r="A304" s="2">
        <v>1303</v>
      </c>
      <c r="B304" s="3">
        <v>45901</v>
      </c>
      <c r="C304" s="2" t="s">
        <v>11</v>
      </c>
      <c r="D304" s="2" t="s">
        <v>17</v>
      </c>
      <c r="E304" s="2" t="s">
        <v>18</v>
      </c>
      <c r="F304" s="2" t="s">
        <v>14</v>
      </c>
      <c r="G304" s="2">
        <v>10</v>
      </c>
      <c r="H304" s="2">
        <v>294</v>
      </c>
      <c r="I304" s="2">
        <v>2940</v>
      </c>
      <c r="J304" s="2">
        <v>3395</v>
      </c>
      <c r="K304" s="2" t="s">
        <v>20</v>
      </c>
      <c r="L304" s="19">
        <f>SalesData!I304/SalesData!J304</f>
        <v>0.865979381443299</v>
      </c>
    </row>
    <row r="305" spans="1:12" x14ac:dyDescent="0.25">
      <c r="A305" s="2">
        <v>1304</v>
      </c>
      <c r="B305" s="3">
        <v>45959</v>
      </c>
      <c r="C305" s="2" t="s">
        <v>16</v>
      </c>
      <c r="D305" s="2" t="s">
        <v>23</v>
      </c>
      <c r="E305" s="2" t="s">
        <v>24</v>
      </c>
      <c r="F305" s="2" t="s">
        <v>19</v>
      </c>
      <c r="G305" s="2">
        <v>9</v>
      </c>
      <c r="H305" s="2">
        <v>292</v>
      </c>
      <c r="I305" s="2">
        <v>2628</v>
      </c>
      <c r="J305" s="2">
        <v>2956</v>
      </c>
      <c r="K305" s="2" t="s">
        <v>20</v>
      </c>
      <c r="L305" s="19">
        <f>SalesData!I305/SalesData!J305</f>
        <v>0.88903924221921515</v>
      </c>
    </row>
    <row r="306" spans="1:12" x14ac:dyDescent="0.25">
      <c r="A306" s="2">
        <v>1305</v>
      </c>
      <c r="B306" s="3">
        <v>45919</v>
      </c>
      <c r="C306" s="2" t="s">
        <v>25</v>
      </c>
      <c r="D306" s="2" t="s">
        <v>17</v>
      </c>
      <c r="E306" s="2" t="s">
        <v>30</v>
      </c>
      <c r="F306" s="2" t="s">
        <v>19</v>
      </c>
      <c r="G306" s="2">
        <v>1</v>
      </c>
      <c r="H306" s="2">
        <v>184</v>
      </c>
      <c r="I306" s="2">
        <v>184</v>
      </c>
      <c r="J306" s="2">
        <v>168</v>
      </c>
      <c r="K306" s="2" t="s">
        <v>20</v>
      </c>
      <c r="L306" s="19">
        <f>SalesData!I306/SalesData!J306</f>
        <v>1.0952380952380953</v>
      </c>
    </row>
    <row r="307" spans="1:12" x14ac:dyDescent="0.25">
      <c r="A307" s="2">
        <v>1306</v>
      </c>
      <c r="B307" s="3">
        <v>45814</v>
      </c>
      <c r="C307" s="2" t="s">
        <v>25</v>
      </c>
      <c r="D307" s="2" t="s">
        <v>12</v>
      </c>
      <c r="E307" s="2" t="s">
        <v>33</v>
      </c>
      <c r="F307" s="2" t="s">
        <v>32</v>
      </c>
      <c r="G307" s="2">
        <v>1</v>
      </c>
      <c r="H307" s="2">
        <v>66</v>
      </c>
      <c r="I307" s="2">
        <v>66</v>
      </c>
      <c r="J307" s="2">
        <v>65</v>
      </c>
      <c r="K307" s="2" t="s">
        <v>15</v>
      </c>
      <c r="L307" s="19">
        <f>SalesData!I307/SalesData!J307</f>
        <v>1.0153846153846153</v>
      </c>
    </row>
    <row r="308" spans="1:12" x14ac:dyDescent="0.25">
      <c r="A308" s="2">
        <v>1307</v>
      </c>
      <c r="B308" s="3">
        <v>45787</v>
      </c>
      <c r="C308" s="2" t="s">
        <v>28</v>
      </c>
      <c r="D308" s="2" t="s">
        <v>17</v>
      </c>
      <c r="E308" s="2" t="s">
        <v>30</v>
      </c>
      <c r="F308" s="2" t="s">
        <v>19</v>
      </c>
      <c r="G308" s="2">
        <v>2</v>
      </c>
      <c r="H308" s="2">
        <v>228</v>
      </c>
      <c r="I308" s="2">
        <v>456</v>
      </c>
      <c r="J308" s="2">
        <v>436</v>
      </c>
      <c r="K308" s="2" t="s">
        <v>15</v>
      </c>
      <c r="L308" s="19">
        <f>SalesData!I308/SalesData!J308</f>
        <v>1.0458715596330275</v>
      </c>
    </row>
    <row r="309" spans="1:12" x14ac:dyDescent="0.25">
      <c r="A309" s="2">
        <v>1308</v>
      </c>
      <c r="B309" s="3">
        <v>45919</v>
      </c>
      <c r="C309" s="2" t="s">
        <v>11</v>
      </c>
      <c r="D309" s="2" t="s">
        <v>17</v>
      </c>
      <c r="E309" s="2" t="s">
        <v>30</v>
      </c>
      <c r="F309" s="2" t="s">
        <v>31</v>
      </c>
      <c r="G309" s="2">
        <v>9</v>
      </c>
      <c r="H309" s="2">
        <v>229</v>
      </c>
      <c r="I309" s="2">
        <v>2061</v>
      </c>
      <c r="J309" s="2">
        <v>2405</v>
      </c>
      <c r="K309" s="2" t="s">
        <v>20</v>
      </c>
      <c r="L309" s="19">
        <f>SalesData!I309/SalesData!J309</f>
        <v>0.85696465696465696</v>
      </c>
    </row>
    <row r="310" spans="1:12" x14ac:dyDescent="0.25">
      <c r="A310" s="2">
        <v>1309</v>
      </c>
      <c r="B310" s="3">
        <v>45682</v>
      </c>
      <c r="C310" s="2" t="s">
        <v>25</v>
      </c>
      <c r="D310" s="2" t="s">
        <v>12</v>
      </c>
      <c r="E310" s="2" t="s">
        <v>34</v>
      </c>
      <c r="F310" s="2" t="s">
        <v>22</v>
      </c>
      <c r="G310" s="2">
        <v>4</v>
      </c>
      <c r="H310" s="2">
        <v>158</v>
      </c>
      <c r="I310" s="2">
        <v>632</v>
      </c>
      <c r="J310" s="2">
        <v>507</v>
      </c>
      <c r="K310" s="2" t="s">
        <v>15</v>
      </c>
      <c r="L310" s="19">
        <f>SalesData!I310/SalesData!J310</f>
        <v>1.2465483234714003</v>
      </c>
    </row>
    <row r="311" spans="1:12" x14ac:dyDescent="0.25">
      <c r="A311" s="2">
        <v>1310</v>
      </c>
      <c r="B311" s="3">
        <v>45658</v>
      </c>
      <c r="C311" s="2" t="s">
        <v>28</v>
      </c>
      <c r="D311" s="2" t="s">
        <v>17</v>
      </c>
      <c r="E311" s="2" t="s">
        <v>18</v>
      </c>
      <c r="F311" s="2" t="s">
        <v>19</v>
      </c>
      <c r="G311" s="2">
        <v>3</v>
      </c>
      <c r="H311" s="2">
        <v>359</v>
      </c>
      <c r="I311" s="2">
        <v>1077</v>
      </c>
      <c r="J311" s="2">
        <v>1185</v>
      </c>
      <c r="K311" s="2" t="s">
        <v>20</v>
      </c>
      <c r="L311" s="19">
        <f>SalesData!I311/SalesData!J311</f>
        <v>0.90886075949367084</v>
      </c>
    </row>
    <row r="312" spans="1:12" x14ac:dyDescent="0.25">
      <c r="A312" s="2">
        <v>1311</v>
      </c>
      <c r="B312" s="3">
        <v>45777</v>
      </c>
      <c r="C312" s="2" t="s">
        <v>28</v>
      </c>
      <c r="D312" s="2" t="s">
        <v>12</v>
      </c>
      <c r="E312" s="2" t="s">
        <v>33</v>
      </c>
      <c r="F312" s="2" t="s">
        <v>22</v>
      </c>
      <c r="G312" s="2">
        <v>4</v>
      </c>
      <c r="H312" s="2">
        <v>32</v>
      </c>
      <c r="I312" s="2">
        <v>128</v>
      </c>
      <c r="J312" s="2">
        <v>127</v>
      </c>
      <c r="K312" s="2" t="s">
        <v>15</v>
      </c>
      <c r="L312" s="19">
        <f>SalesData!I312/SalesData!J312</f>
        <v>1.0078740157480315</v>
      </c>
    </row>
    <row r="313" spans="1:12" x14ac:dyDescent="0.25">
      <c r="A313" s="2">
        <v>1312</v>
      </c>
      <c r="B313" s="3">
        <v>46011</v>
      </c>
      <c r="C313" s="2" t="s">
        <v>25</v>
      </c>
      <c r="D313" s="2" t="s">
        <v>23</v>
      </c>
      <c r="E313" s="2" t="s">
        <v>24</v>
      </c>
      <c r="F313" s="2" t="s">
        <v>31</v>
      </c>
      <c r="G313" s="2">
        <v>8</v>
      </c>
      <c r="H313" s="2">
        <v>400</v>
      </c>
      <c r="I313" s="2">
        <v>3200</v>
      </c>
      <c r="J313" s="2">
        <v>3190</v>
      </c>
      <c r="K313" s="2" t="s">
        <v>20</v>
      </c>
      <c r="L313" s="19">
        <f>SalesData!I313/SalesData!J313</f>
        <v>1.0031347962382444</v>
      </c>
    </row>
    <row r="314" spans="1:12" x14ac:dyDescent="0.25">
      <c r="A314" s="2">
        <v>1313</v>
      </c>
      <c r="B314" s="3">
        <v>45661</v>
      </c>
      <c r="C314" s="2" t="s">
        <v>28</v>
      </c>
      <c r="D314" s="2" t="s">
        <v>23</v>
      </c>
      <c r="E314" s="2" t="s">
        <v>35</v>
      </c>
      <c r="F314" s="2" t="s">
        <v>31</v>
      </c>
      <c r="G314" s="2">
        <v>2</v>
      </c>
      <c r="H314" s="2">
        <v>181</v>
      </c>
      <c r="I314" s="2">
        <v>362</v>
      </c>
      <c r="J314" s="2">
        <v>454</v>
      </c>
      <c r="K314" s="2" t="s">
        <v>15</v>
      </c>
      <c r="L314" s="19">
        <f>SalesData!I314/SalesData!J314</f>
        <v>0.79735682819383258</v>
      </c>
    </row>
    <row r="315" spans="1:12" x14ac:dyDescent="0.25">
      <c r="A315" s="2">
        <v>1314</v>
      </c>
      <c r="B315" s="3">
        <v>46016</v>
      </c>
      <c r="C315" s="2" t="s">
        <v>16</v>
      </c>
      <c r="D315" s="2" t="s">
        <v>12</v>
      </c>
      <c r="E315" s="2" t="s">
        <v>13</v>
      </c>
      <c r="F315" s="2" t="s">
        <v>32</v>
      </c>
      <c r="G315" s="2">
        <v>5</v>
      </c>
      <c r="H315" s="2">
        <v>33</v>
      </c>
      <c r="I315" s="2">
        <v>165</v>
      </c>
      <c r="J315" s="2">
        <v>211</v>
      </c>
      <c r="K315" s="2" t="s">
        <v>15</v>
      </c>
      <c r="L315" s="19">
        <f>SalesData!I315/SalesData!J315</f>
        <v>0.78199052132701419</v>
      </c>
    </row>
    <row r="316" spans="1:12" x14ac:dyDescent="0.25">
      <c r="A316" s="2">
        <v>1315</v>
      </c>
      <c r="B316" s="3">
        <v>45936</v>
      </c>
      <c r="C316" s="2" t="s">
        <v>11</v>
      </c>
      <c r="D316" s="2" t="s">
        <v>23</v>
      </c>
      <c r="E316" s="2" t="s">
        <v>26</v>
      </c>
      <c r="F316" s="2" t="s">
        <v>19</v>
      </c>
      <c r="G316" s="2">
        <v>9</v>
      </c>
      <c r="H316" s="2">
        <v>35</v>
      </c>
      <c r="I316" s="2">
        <v>315</v>
      </c>
      <c r="J316" s="2">
        <v>384</v>
      </c>
      <c r="K316" s="2" t="s">
        <v>20</v>
      </c>
      <c r="L316" s="19">
        <f>SalesData!I316/SalesData!J316</f>
        <v>0.8203125</v>
      </c>
    </row>
    <row r="317" spans="1:12" x14ac:dyDescent="0.25">
      <c r="A317" s="2">
        <v>1316</v>
      </c>
      <c r="B317" s="3">
        <v>45670</v>
      </c>
      <c r="C317" s="2" t="s">
        <v>25</v>
      </c>
      <c r="D317" s="2" t="s">
        <v>17</v>
      </c>
      <c r="E317" s="2" t="s">
        <v>30</v>
      </c>
      <c r="F317" s="2" t="s">
        <v>19</v>
      </c>
      <c r="G317" s="2">
        <v>3</v>
      </c>
      <c r="H317" s="2">
        <v>195</v>
      </c>
      <c r="I317" s="2">
        <v>585</v>
      </c>
      <c r="J317" s="2">
        <v>532</v>
      </c>
      <c r="K317" s="2" t="s">
        <v>15</v>
      </c>
      <c r="L317" s="19">
        <f>SalesData!I317/SalesData!J317</f>
        <v>1.0996240601503759</v>
      </c>
    </row>
    <row r="318" spans="1:12" x14ac:dyDescent="0.25">
      <c r="A318" s="2">
        <v>1317</v>
      </c>
      <c r="B318" s="3">
        <v>45856</v>
      </c>
      <c r="C318" s="2" t="s">
        <v>16</v>
      </c>
      <c r="D318" s="2" t="s">
        <v>17</v>
      </c>
      <c r="E318" s="2" t="s">
        <v>27</v>
      </c>
      <c r="F318" s="2" t="s">
        <v>29</v>
      </c>
      <c r="G318" s="2">
        <v>1</v>
      </c>
      <c r="H318" s="2">
        <v>382</v>
      </c>
      <c r="I318" s="2">
        <v>382</v>
      </c>
      <c r="J318" s="2">
        <v>405</v>
      </c>
      <c r="K318" s="2" t="s">
        <v>15</v>
      </c>
      <c r="L318" s="19">
        <f>SalesData!I318/SalesData!J318</f>
        <v>0.94320987654320987</v>
      </c>
    </row>
    <row r="319" spans="1:12" x14ac:dyDescent="0.25">
      <c r="A319" s="2">
        <v>1318</v>
      </c>
      <c r="B319" s="3">
        <v>45995</v>
      </c>
      <c r="C319" s="2" t="s">
        <v>25</v>
      </c>
      <c r="D319" s="2" t="s">
        <v>23</v>
      </c>
      <c r="E319" s="2" t="s">
        <v>26</v>
      </c>
      <c r="F319" s="2" t="s">
        <v>19</v>
      </c>
      <c r="G319" s="2">
        <v>1</v>
      </c>
      <c r="H319" s="2">
        <v>272</v>
      </c>
      <c r="I319" s="2">
        <v>272</v>
      </c>
      <c r="J319" s="2">
        <v>239</v>
      </c>
      <c r="K319" s="2" t="s">
        <v>20</v>
      </c>
      <c r="L319" s="19">
        <f>SalesData!I319/SalesData!J319</f>
        <v>1.1380753138075315</v>
      </c>
    </row>
    <row r="320" spans="1:12" x14ac:dyDescent="0.25">
      <c r="A320" s="2">
        <v>1319</v>
      </c>
      <c r="B320" s="3">
        <v>45732</v>
      </c>
      <c r="C320" s="2" t="s">
        <v>16</v>
      </c>
      <c r="D320" s="2" t="s">
        <v>12</v>
      </c>
      <c r="E320" s="2" t="s">
        <v>34</v>
      </c>
      <c r="F320" s="2" t="s">
        <v>32</v>
      </c>
      <c r="G320" s="2">
        <v>7</v>
      </c>
      <c r="H320" s="2">
        <v>154</v>
      </c>
      <c r="I320" s="2">
        <v>1078</v>
      </c>
      <c r="J320" s="2">
        <v>1055</v>
      </c>
      <c r="K320" s="2" t="s">
        <v>15</v>
      </c>
      <c r="L320" s="19">
        <f>SalesData!I320/SalesData!J320</f>
        <v>1.0218009478672985</v>
      </c>
    </row>
    <row r="321" spans="1:12" x14ac:dyDescent="0.25">
      <c r="A321" s="2">
        <v>1320</v>
      </c>
      <c r="B321" s="3">
        <v>45833</v>
      </c>
      <c r="C321" s="2" t="s">
        <v>25</v>
      </c>
      <c r="D321" s="2" t="s">
        <v>23</v>
      </c>
      <c r="E321" s="2" t="s">
        <v>24</v>
      </c>
      <c r="F321" s="2" t="s">
        <v>22</v>
      </c>
      <c r="G321" s="2">
        <v>10</v>
      </c>
      <c r="H321" s="2">
        <v>317</v>
      </c>
      <c r="I321" s="2">
        <v>3170</v>
      </c>
      <c r="J321" s="2">
        <v>3607</v>
      </c>
      <c r="K321" s="2" t="s">
        <v>20</v>
      </c>
      <c r="L321" s="19">
        <f>SalesData!I321/SalesData!J321</f>
        <v>0.8788466869975049</v>
      </c>
    </row>
    <row r="322" spans="1:12" x14ac:dyDescent="0.25">
      <c r="A322" s="2">
        <v>1321</v>
      </c>
      <c r="B322" s="3">
        <v>45854</v>
      </c>
      <c r="C322" s="2" t="s">
        <v>16</v>
      </c>
      <c r="D322" s="2" t="s">
        <v>17</v>
      </c>
      <c r="E322" s="2" t="s">
        <v>18</v>
      </c>
      <c r="F322" s="2" t="s">
        <v>14</v>
      </c>
      <c r="G322" s="2">
        <v>2</v>
      </c>
      <c r="H322" s="2">
        <v>435</v>
      </c>
      <c r="I322" s="2">
        <v>870</v>
      </c>
      <c r="J322" s="2">
        <v>730</v>
      </c>
      <c r="K322" s="2" t="s">
        <v>15</v>
      </c>
      <c r="L322" s="19">
        <f>SalesData!I322/SalesData!J322</f>
        <v>1.1917808219178083</v>
      </c>
    </row>
    <row r="323" spans="1:12" x14ac:dyDescent="0.25">
      <c r="A323" s="2">
        <v>1322</v>
      </c>
      <c r="B323" s="3">
        <v>45665</v>
      </c>
      <c r="C323" s="2" t="s">
        <v>16</v>
      </c>
      <c r="D323" s="2" t="s">
        <v>12</v>
      </c>
      <c r="E323" s="2" t="s">
        <v>13</v>
      </c>
      <c r="F323" s="2" t="s">
        <v>19</v>
      </c>
      <c r="G323" s="2">
        <v>8</v>
      </c>
      <c r="H323" s="2">
        <v>491</v>
      </c>
      <c r="I323" s="2">
        <v>3928</v>
      </c>
      <c r="J323" s="2">
        <v>4734</v>
      </c>
      <c r="K323" s="2" t="s">
        <v>20</v>
      </c>
      <c r="L323" s="19">
        <f>SalesData!I323/SalesData!J323</f>
        <v>0.82974228981833542</v>
      </c>
    </row>
    <row r="324" spans="1:12" x14ac:dyDescent="0.25">
      <c r="A324" s="2">
        <v>1323</v>
      </c>
      <c r="B324" s="3">
        <v>45775</v>
      </c>
      <c r="C324" s="2" t="s">
        <v>11</v>
      </c>
      <c r="D324" s="2" t="s">
        <v>17</v>
      </c>
      <c r="E324" s="2" t="s">
        <v>27</v>
      </c>
      <c r="F324" s="2" t="s">
        <v>19</v>
      </c>
      <c r="G324" s="2">
        <v>9</v>
      </c>
      <c r="H324" s="2">
        <v>242</v>
      </c>
      <c r="I324" s="2">
        <v>2178</v>
      </c>
      <c r="J324" s="2">
        <v>2818</v>
      </c>
      <c r="K324" s="2" t="s">
        <v>20</v>
      </c>
      <c r="L324" s="19">
        <f>SalesData!I324/SalesData!J324</f>
        <v>0.77288857345635198</v>
      </c>
    </row>
    <row r="325" spans="1:12" x14ac:dyDescent="0.25">
      <c r="A325" s="2">
        <v>1324</v>
      </c>
      <c r="B325" s="3">
        <v>45989</v>
      </c>
      <c r="C325" s="2" t="s">
        <v>25</v>
      </c>
      <c r="D325" s="2" t="s">
        <v>23</v>
      </c>
      <c r="E325" s="2" t="s">
        <v>24</v>
      </c>
      <c r="F325" s="2" t="s">
        <v>29</v>
      </c>
      <c r="G325" s="2">
        <v>1</v>
      </c>
      <c r="H325" s="2">
        <v>365</v>
      </c>
      <c r="I325" s="2">
        <v>365</v>
      </c>
      <c r="J325" s="2">
        <v>451</v>
      </c>
      <c r="K325" s="2" t="s">
        <v>15</v>
      </c>
      <c r="L325" s="19">
        <f>SalesData!I325/SalesData!J325</f>
        <v>0.80931263858093128</v>
      </c>
    </row>
    <row r="326" spans="1:12" x14ac:dyDescent="0.25">
      <c r="A326" s="2">
        <v>1325</v>
      </c>
      <c r="B326" s="3">
        <v>45847</v>
      </c>
      <c r="C326" s="2" t="s">
        <v>11</v>
      </c>
      <c r="D326" s="2" t="s">
        <v>17</v>
      </c>
      <c r="E326" s="2" t="s">
        <v>18</v>
      </c>
      <c r="F326" s="2" t="s">
        <v>19</v>
      </c>
      <c r="G326" s="2">
        <v>7</v>
      </c>
      <c r="H326" s="2">
        <v>145</v>
      </c>
      <c r="I326" s="2">
        <v>1015</v>
      </c>
      <c r="J326" s="2">
        <v>1133</v>
      </c>
      <c r="K326" s="2" t="s">
        <v>15</v>
      </c>
      <c r="L326" s="19">
        <f>SalesData!I326/SalesData!J326</f>
        <v>0.89585172109443956</v>
      </c>
    </row>
    <row r="327" spans="1:12" x14ac:dyDescent="0.25">
      <c r="A327" s="2">
        <v>1326</v>
      </c>
      <c r="B327" s="3">
        <v>45681</v>
      </c>
      <c r="C327" s="2" t="s">
        <v>28</v>
      </c>
      <c r="D327" s="2" t="s">
        <v>23</v>
      </c>
      <c r="E327" s="2" t="s">
        <v>24</v>
      </c>
      <c r="F327" s="2" t="s">
        <v>14</v>
      </c>
      <c r="G327" s="2">
        <v>6</v>
      </c>
      <c r="H327" s="2">
        <v>224</v>
      </c>
      <c r="I327" s="2">
        <v>1344</v>
      </c>
      <c r="J327" s="2">
        <v>1398</v>
      </c>
      <c r="K327" s="2" t="s">
        <v>20</v>
      </c>
      <c r="L327" s="19">
        <f>SalesData!I327/SalesData!J327</f>
        <v>0.96137339055793991</v>
      </c>
    </row>
    <row r="328" spans="1:12" x14ac:dyDescent="0.25">
      <c r="A328" s="2">
        <v>1327</v>
      </c>
      <c r="B328" s="3">
        <v>46011</v>
      </c>
      <c r="C328" s="2" t="s">
        <v>11</v>
      </c>
      <c r="D328" s="2" t="s">
        <v>23</v>
      </c>
      <c r="E328" s="2" t="s">
        <v>24</v>
      </c>
      <c r="F328" s="2" t="s">
        <v>14</v>
      </c>
      <c r="G328" s="2">
        <v>1</v>
      </c>
      <c r="H328" s="2">
        <v>485</v>
      </c>
      <c r="I328" s="2">
        <v>485</v>
      </c>
      <c r="J328" s="2">
        <v>429</v>
      </c>
      <c r="K328" s="2" t="s">
        <v>20</v>
      </c>
      <c r="L328" s="19">
        <f>SalesData!I328/SalesData!J328</f>
        <v>1.1305361305361306</v>
      </c>
    </row>
    <row r="329" spans="1:12" x14ac:dyDescent="0.25">
      <c r="A329" s="2">
        <v>1328</v>
      </c>
      <c r="B329" s="3">
        <v>45974</v>
      </c>
      <c r="C329" s="2" t="s">
        <v>16</v>
      </c>
      <c r="D329" s="2" t="s">
        <v>23</v>
      </c>
      <c r="E329" s="2" t="s">
        <v>26</v>
      </c>
      <c r="F329" s="2" t="s">
        <v>29</v>
      </c>
      <c r="G329" s="2">
        <v>9</v>
      </c>
      <c r="H329" s="2">
        <v>280</v>
      </c>
      <c r="I329" s="2">
        <v>2520</v>
      </c>
      <c r="J329" s="2">
        <v>2044</v>
      </c>
      <c r="K329" s="2" t="s">
        <v>20</v>
      </c>
      <c r="L329" s="19">
        <f>SalesData!I329/SalesData!J329</f>
        <v>1.2328767123287672</v>
      </c>
    </row>
    <row r="330" spans="1:12" x14ac:dyDescent="0.25">
      <c r="A330" s="2">
        <v>1329</v>
      </c>
      <c r="B330" s="3">
        <v>45722</v>
      </c>
      <c r="C330" s="2" t="s">
        <v>25</v>
      </c>
      <c r="D330" s="2" t="s">
        <v>12</v>
      </c>
      <c r="E330" s="2" t="s">
        <v>33</v>
      </c>
      <c r="F330" s="2" t="s">
        <v>19</v>
      </c>
      <c r="G330" s="2">
        <v>9</v>
      </c>
      <c r="H330" s="2">
        <v>253</v>
      </c>
      <c r="I330" s="2">
        <v>2277</v>
      </c>
      <c r="J330" s="2">
        <v>2209</v>
      </c>
      <c r="K330" s="2" t="s">
        <v>20</v>
      </c>
      <c r="L330" s="19">
        <f>SalesData!I330/SalesData!J330</f>
        <v>1.0307831598008148</v>
      </c>
    </row>
    <row r="331" spans="1:12" x14ac:dyDescent="0.25">
      <c r="A331" s="2">
        <v>1330</v>
      </c>
      <c r="B331" s="3">
        <v>45746</v>
      </c>
      <c r="C331" s="2" t="s">
        <v>28</v>
      </c>
      <c r="D331" s="2" t="s">
        <v>17</v>
      </c>
      <c r="E331" s="2" t="s">
        <v>27</v>
      </c>
      <c r="F331" s="2" t="s">
        <v>32</v>
      </c>
      <c r="G331" s="2">
        <v>10</v>
      </c>
      <c r="H331" s="2">
        <v>170</v>
      </c>
      <c r="I331" s="2">
        <v>1700</v>
      </c>
      <c r="J331" s="2">
        <v>1454</v>
      </c>
      <c r="K331" s="2" t="s">
        <v>20</v>
      </c>
      <c r="L331" s="19">
        <f>SalesData!I331/SalesData!J331</f>
        <v>1.1691884456671251</v>
      </c>
    </row>
    <row r="332" spans="1:12" x14ac:dyDescent="0.25">
      <c r="A332" s="2">
        <v>1331</v>
      </c>
      <c r="B332" s="3">
        <v>45919</v>
      </c>
      <c r="C332" s="2" t="s">
        <v>25</v>
      </c>
      <c r="D332" s="2" t="s">
        <v>12</v>
      </c>
      <c r="E332" s="2" t="s">
        <v>13</v>
      </c>
      <c r="F332" s="2" t="s">
        <v>31</v>
      </c>
      <c r="G332" s="2">
        <v>6</v>
      </c>
      <c r="H332" s="2">
        <v>495</v>
      </c>
      <c r="I332" s="2">
        <v>2970</v>
      </c>
      <c r="J332" s="2">
        <v>3652</v>
      </c>
      <c r="K332" s="2" t="s">
        <v>15</v>
      </c>
      <c r="L332" s="19">
        <f>SalesData!I332/SalesData!J332</f>
        <v>0.81325301204819278</v>
      </c>
    </row>
    <row r="333" spans="1:12" x14ac:dyDescent="0.25">
      <c r="A333" s="2">
        <v>1332</v>
      </c>
      <c r="B333" s="3">
        <v>45932</v>
      </c>
      <c r="C333" s="2" t="s">
        <v>28</v>
      </c>
      <c r="D333" s="2" t="s">
        <v>12</v>
      </c>
      <c r="E333" s="2" t="s">
        <v>34</v>
      </c>
      <c r="F333" s="2" t="s">
        <v>31</v>
      </c>
      <c r="G333" s="2">
        <v>4</v>
      </c>
      <c r="H333" s="2">
        <v>138</v>
      </c>
      <c r="I333" s="2">
        <v>552</v>
      </c>
      <c r="J333" s="2">
        <v>606</v>
      </c>
      <c r="K333" s="2" t="s">
        <v>15</v>
      </c>
      <c r="L333" s="19">
        <f>SalesData!I333/SalesData!J333</f>
        <v>0.91089108910891092</v>
      </c>
    </row>
    <row r="334" spans="1:12" x14ac:dyDescent="0.25">
      <c r="A334" s="2">
        <v>1333</v>
      </c>
      <c r="B334" s="3">
        <v>45877</v>
      </c>
      <c r="C334" s="2" t="s">
        <v>16</v>
      </c>
      <c r="D334" s="2" t="s">
        <v>17</v>
      </c>
      <c r="E334" s="2" t="s">
        <v>18</v>
      </c>
      <c r="F334" s="2" t="s">
        <v>14</v>
      </c>
      <c r="G334" s="2">
        <v>6</v>
      </c>
      <c r="H334" s="2">
        <v>52</v>
      </c>
      <c r="I334" s="2">
        <v>312</v>
      </c>
      <c r="J334" s="2">
        <v>276</v>
      </c>
      <c r="K334" s="2" t="s">
        <v>20</v>
      </c>
      <c r="L334" s="19">
        <f>SalesData!I334/SalesData!J334</f>
        <v>1.1304347826086956</v>
      </c>
    </row>
    <row r="335" spans="1:12" x14ac:dyDescent="0.25">
      <c r="A335" s="2">
        <v>1334</v>
      </c>
      <c r="B335" s="3">
        <v>45896</v>
      </c>
      <c r="C335" s="2" t="s">
        <v>16</v>
      </c>
      <c r="D335" s="2" t="s">
        <v>17</v>
      </c>
      <c r="E335" s="2" t="s">
        <v>18</v>
      </c>
      <c r="F335" s="2" t="s">
        <v>22</v>
      </c>
      <c r="G335" s="2">
        <v>8</v>
      </c>
      <c r="H335" s="2">
        <v>166</v>
      </c>
      <c r="I335" s="2">
        <v>1328</v>
      </c>
      <c r="J335" s="2">
        <v>1358</v>
      </c>
      <c r="K335" s="2" t="s">
        <v>15</v>
      </c>
      <c r="L335" s="19">
        <f>SalesData!I335/SalesData!J335</f>
        <v>0.9779086892488954</v>
      </c>
    </row>
    <row r="336" spans="1:12" x14ac:dyDescent="0.25">
      <c r="A336" s="2">
        <v>1335</v>
      </c>
      <c r="B336" s="3">
        <v>45695</v>
      </c>
      <c r="C336" s="2" t="s">
        <v>11</v>
      </c>
      <c r="D336" s="2" t="s">
        <v>23</v>
      </c>
      <c r="E336" s="2" t="s">
        <v>26</v>
      </c>
      <c r="F336" s="2" t="s">
        <v>22</v>
      </c>
      <c r="G336" s="2">
        <v>3</v>
      </c>
      <c r="H336" s="2">
        <v>95</v>
      </c>
      <c r="I336" s="2">
        <v>285</v>
      </c>
      <c r="J336" s="2">
        <v>317</v>
      </c>
      <c r="K336" s="2" t="s">
        <v>15</v>
      </c>
      <c r="L336" s="19">
        <f>SalesData!I336/SalesData!J336</f>
        <v>0.89905362776025233</v>
      </c>
    </row>
    <row r="337" spans="1:12" x14ac:dyDescent="0.25">
      <c r="A337" s="2">
        <v>1336</v>
      </c>
      <c r="B337" s="3">
        <v>45676</v>
      </c>
      <c r="C337" s="2" t="s">
        <v>16</v>
      </c>
      <c r="D337" s="2" t="s">
        <v>23</v>
      </c>
      <c r="E337" s="2" t="s">
        <v>35</v>
      </c>
      <c r="F337" s="2" t="s">
        <v>29</v>
      </c>
      <c r="G337" s="2">
        <v>4</v>
      </c>
      <c r="H337" s="2">
        <v>431</v>
      </c>
      <c r="I337" s="2">
        <v>1724</v>
      </c>
      <c r="J337" s="2">
        <v>2060</v>
      </c>
      <c r="K337" s="2" t="s">
        <v>20</v>
      </c>
      <c r="L337" s="19">
        <f>SalesData!I337/SalesData!J337</f>
        <v>0.8368932038834952</v>
      </c>
    </row>
    <row r="338" spans="1:12" x14ac:dyDescent="0.25">
      <c r="A338" s="2">
        <v>1337</v>
      </c>
      <c r="B338" s="3">
        <v>45901</v>
      </c>
      <c r="C338" s="2" t="s">
        <v>11</v>
      </c>
      <c r="D338" s="2" t="s">
        <v>23</v>
      </c>
      <c r="E338" s="2" t="s">
        <v>35</v>
      </c>
      <c r="F338" s="2" t="s">
        <v>29</v>
      </c>
      <c r="G338" s="2">
        <v>2</v>
      </c>
      <c r="H338" s="2">
        <v>186</v>
      </c>
      <c r="I338" s="2">
        <v>372</v>
      </c>
      <c r="J338" s="2">
        <v>315</v>
      </c>
      <c r="K338" s="2" t="s">
        <v>20</v>
      </c>
      <c r="L338" s="19">
        <f>SalesData!I338/SalesData!J338</f>
        <v>1.180952380952381</v>
      </c>
    </row>
    <row r="339" spans="1:12" x14ac:dyDescent="0.25">
      <c r="A339" s="2">
        <v>1338</v>
      </c>
      <c r="B339" s="3">
        <v>45947</v>
      </c>
      <c r="C339" s="2" t="s">
        <v>11</v>
      </c>
      <c r="D339" s="2" t="s">
        <v>23</v>
      </c>
      <c r="E339" s="2" t="s">
        <v>35</v>
      </c>
      <c r="F339" s="2" t="s">
        <v>29</v>
      </c>
      <c r="G339" s="2">
        <v>6</v>
      </c>
      <c r="H339" s="2">
        <v>311</v>
      </c>
      <c r="I339" s="2">
        <v>1866</v>
      </c>
      <c r="J339" s="2">
        <v>1625</v>
      </c>
      <c r="K339" s="2" t="s">
        <v>20</v>
      </c>
      <c r="L339" s="19">
        <f>SalesData!I339/SalesData!J339</f>
        <v>1.1483076923076923</v>
      </c>
    </row>
    <row r="340" spans="1:12" x14ac:dyDescent="0.25">
      <c r="A340" s="2">
        <v>1339</v>
      </c>
      <c r="B340" s="3">
        <v>45684</v>
      </c>
      <c r="C340" s="2" t="s">
        <v>25</v>
      </c>
      <c r="D340" s="2" t="s">
        <v>12</v>
      </c>
      <c r="E340" s="2" t="s">
        <v>21</v>
      </c>
      <c r="F340" s="2" t="s">
        <v>14</v>
      </c>
      <c r="G340" s="2">
        <v>6</v>
      </c>
      <c r="H340" s="2">
        <v>122</v>
      </c>
      <c r="I340" s="2">
        <v>732</v>
      </c>
      <c r="J340" s="2">
        <v>648</v>
      </c>
      <c r="K340" s="2" t="s">
        <v>20</v>
      </c>
      <c r="L340" s="19">
        <f>SalesData!I340/SalesData!J340</f>
        <v>1.1296296296296295</v>
      </c>
    </row>
    <row r="341" spans="1:12" x14ac:dyDescent="0.25">
      <c r="A341" s="2">
        <v>1340</v>
      </c>
      <c r="B341" s="3">
        <v>45990</v>
      </c>
      <c r="C341" s="2" t="s">
        <v>25</v>
      </c>
      <c r="D341" s="2" t="s">
        <v>12</v>
      </c>
      <c r="E341" s="2" t="s">
        <v>21</v>
      </c>
      <c r="F341" s="2" t="s">
        <v>29</v>
      </c>
      <c r="G341" s="2">
        <v>3</v>
      </c>
      <c r="H341" s="2">
        <v>135</v>
      </c>
      <c r="I341" s="2">
        <v>405</v>
      </c>
      <c r="J341" s="2">
        <v>356</v>
      </c>
      <c r="K341" s="2" t="s">
        <v>15</v>
      </c>
      <c r="L341" s="19">
        <f>SalesData!I341/SalesData!J341</f>
        <v>1.1376404494382022</v>
      </c>
    </row>
    <row r="342" spans="1:12" x14ac:dyDescent="0.25">
      <c r="A342" s="2">
        <v>1341</v>
      </c>
      <c r="B342" s="3">
        <v>45813</v>
      </c>
      <c r="C342" s="2" t="s">
        <v>25</v>
      </c>
      <c r="D342" s="2" t="s">
        <v>23</v>
      </c>
      <c r="E342" s="2" t="s">
        <v>24</v>
      </c>
      <c r="F342" s="2" t="s">
        <v>29</v>
      </c>
      <c r="G342" s="2">
        <v>6</v>
      </c>
      <c r="H342" s="2">
        <v>24</v>
      </c>
      <c r="I342" s="2">
        <v>144</v>
      </c>
      <c r="J342" s="2">
        <v>170</v>
      </c>
      <c r="K342" s="2" t="s">
        <v>15</v>
      </c>
      <c r="L342" s="19">
        <f>SalesData!I342/SalesData!J342</f>
        <v>0.84705882352941175</v>
      </c>
    </row>
    <row r="343" spans="1:12" x14ac:dyDescent="0.25">
      <c r="A343" s="2">
        <v>1342</v>
      </c>
      <c r="B343" s="3">
        <v>45765</v>
      </c>
      <c r="C343" s="2" t="s">
        <v>28</v>
      </c>
      <c r="D343" s="2" t="s">
        <v>12</v>
      </c>
      <c r="E343" s="2" t="s">
        <v>34</v>
      </c>
      <c r="F343" s="2" t="s">
        <v>14</v>
      </c>
      <c r="G343" s="2">
        <v>7</v>
      </c>
      <c r="H343" s="2">
        <v>318</v>
      </c>
      <c r="I343" s="2">
        <v>2226</v>
      </c>
      <c r="J343" s="2">
        <v>1892</v>
      </c>
      <c r="K343" s="2" t="s">
        <v>20</v>
      </c>
      <c r="L343" s="19">
        <f>SalesData!I343/SalesData!J343</f>
        <v>1.1765327695560253</v>
      </c>
    </row>
    <row r="344" spans="1:12" x14ac:dyDescent="0.25">
      <c r="A344" s="2">
        <v>1343</v>
      </c>
      <c r="B344" s="3">
        <v>45702</v>
      </c>
      <c r="C344" s="2" t="s">
        <v>25</v>
      </c>
      <c r="D344" s="2" t="s">
        <v>17</v>
      </c>
      <c r="E344" s="2" t="s">
        <v>30</v>
      </c>
      <c r="F344" s="2" t="s">
        <v>14</v>
      </c>
      <c r="G344" s="2">
        <v>3</v>
      </c>
      <c r="H344" s="2">
        <v>469</v>
      </c>
      <c r="I344" s="2">
        <v>1407</v>
      </c>
      <c r="J344" s="2">
        <v>1212</v>
      </c>
      <c r="K344" s="2" t="s">
        <v>15</v>
      </c>
      <c r="L344" s="19">
        <f>SalesData!I344/SalesData!J344</f>
        <v>1.1608910891089108</v>
      </c>
    </row>
    <row r="345" spans="1:12" x14ac:dyDescent="0.25">
      <c r="A345" s="2">
        <v>1344</v>
      </c>
      <c r="B345" s="3">
        <v>45726</v>
      </c>
      <c r="C345" s="2" t="s">
        <v>28</v>
      </c>
      <c r="D345" s="2" t="s">
        <v>12</v>
      </c>
      <c r="E345" s="2" t="s">
        <v>21</v>
      </c>
      <c r="F345" s="2" t="s">
        <v>29</v>
      </c>
      <c r="G345" s="2">
        <v>4</v>
      </c>
      <c r="H345" s="2">
        <v>301</v>
      </c>
      <c r="I345" s="2">
        <v>1204</v>
      </c>
      <c r="J345" s="2">
        <v>1151</v>
      </c>
      <c r="K345" s="2" t="s">
        <v>20</v>
      </c>
      <c r="L345" s="19">
        <f>SalesData!I345/SalesData!J345</f>
        <v>1.0460469157254562</v>
      </c>
    </row>
    <row r="346" spans="1:12" x14ac:dyDescent="0.25">
      <c r="A346" s="2">
        <v>1345</v>
      </c>
      <c r="B346" s="3">
        <v>45780</v>
      </c>
      <c r="C346" s="2" t="s">
        <v>16</v>
      </c>
      <c r="D346" s="2" t="s">
        <v>23</v>
      </c>
      <c r="E346" s="2" t="s">
        <v>35</v>
      </c>
      <c r="F346" s="2" t="s">
        <v>31</v>
      </c>
      <c r="G346" s="2">
        <v>5</v>
      </c>
      <c r="H346" s="2">
        <v>116</v>
      </c>
      <c r="I346" s="2">
        <v>580</v>
      </c>
      <c r="J346" s="2">
        <v>651</v>
      </c>
      <c r="K346" s="2" t="s">
        <v>20</v>
      </c>
      <c r="L346" s="19">
        <f>SalesData!I346/SalesData!J346</f>
        <v>0.89093701996927799</v>
      </c>
    </row>
    <row r="347" spans="1:12" x14ac:dyDescent="0.25">
      <c r="A347" s="2">
        <v>1346</v>
      </c>
      <c r="B347" s="3">
        <v>45737</v>
      </c>
      <c r="C347" s="2" t="s">
        <v>25</v>
      </c>
      <c r="D347" s="2" t="s">
        <v>17</v>
      </c>
      <c r="E347" s="2" t="s">
        <v>30</v>
      </c>
      <c r="F347" s="2" t="s">
        <v>31</v>
      </c>
      <c r="G347" s="2">
        <v>9</v>
      </c>
      <c r="H347" s="2">
        <v>340</v>
      </c>
      <c r="I347" s="2">
        <v>3060</v>
      </c>
      <c r="J347" s="2">
        <v>3893</v>
      </c>
      <c r="K347" s="2" t="s">
        <v>20</v>
      </c>
      <c r="L347" s="19">
        <f>SalesData!I347/SalesData!J347</f>
        <v>0.78602620087336239</v>
      </c>
    </row>
    <row r="348" spans="1:12" x14ac:dyDescent="0.25">
      <c r="A348" s="2">
        <v>1347</v>
      </c>
      <c r="B348" s="3">
        <v>45923</v>
      </c>
      <c r="C348" s="2" t="s">
        <v>28</v>
      </c>
      <c r="D348" s="2" t="s">
        <v>23</v>
      </c>
      <c r="E348" s="2" t="s">
        <v>24</v>
      </c>
      <c r="F348" s="2" t="s">
        <v>29</v>
      </c>
      <c r="G348" s="2">
        <v>7</v>
      </c>
      <c r="H348" s="2">
        <v>492</v>
      </c>
      <c r="I348" s="2">
        <v>3444</v>
      </c>
      <c r="J348" s="2">
        <v>4417</v>
      </c>
      <c r="K348" s="2" t="s">
        <v>20</v>
      </c>
      <c r="L348" s="19">
        <f>SalesData!I348/SalesData!J348</f>
        <v>0.77971473851030115</v>
      </c>
    </row>
    <row r="349" spans="1:12" x14ac:dyDescent="0.25">
      <c r="A349" s="2">
        <v>1348</v>
      </c>
      <c r="B349" s="3">
        <v>45916</v>
      </c>
      <c r="C349" s="2" t="s">
        <v>25</v>
      </c>
      <c r="D349" s="2" t="s">
        <v>17</v>
      </c>
      <c r="E349" s="2" t="s">
        <v>27</v>
      </c>
      <c r="F349" s="2" t="s">
        <v>19</v>
      </c>
      <c r="G349" s="2">
        <v>5</v>
      </c>
      <c r="H349" s="2">
        <v>464</v>
      </c>
      <c r="I349" s="2">
        <v>2320</v>
      </c>
      <c r="J349" s="2">
        <v>2448</v>
      </c>
      <c r="K349" s="2" t="s">
        <v>15</v>
      </c>
      <c r="L349" s="19">
        <f>SalesData!I349/SalesData!J349</f>
        <v>0.94771241830065356</v>
      </c>
    </row>
    <row r="350" spans="1:12" x14ac:dyDescent="0.25">
      <c r="A350" s="2">
        <v>1349</v>
      </c>
      <c r="B350" s="3">
        <v>45966</v>
      </c>
      <c r="C350" s="2" t="s">
        <v>16</v>
      </c>
      <c r="D350" s="2" t="s">
        <v>12</v>
      </c>
      <c r="E350" s="2" t="s">
        <v>33</v>
      </c>
      <c r="F350" s="2" t="s">
        <v>19</v>
      </c>
      <c r="G350" s="2">
        <v>10</v>
      </c>
      <c r="H350" s="2">
        <v>273</v>
      </c>
      <c r="I350" s="2">
        <v>2730</v>
      </c>
      <c r="J350" s="2">
        <v>2840</v>
      </c>
      <c r="K350" s="2" t="s">
        <v>15</v>
      </c>
      <c r="L350" s="19">
        <f>SalesData!I350/SalesData!J350</f>
        <v>0.96126760563380287</v>
      </c>
    </row>
    <row r="351" spans="1:12" x14ac:dyDescent="0.25">
      <c r="A351" s="2">
        <v>1350</v>
      </c>
      <c r="B351" s="3">
        <v>45968</v>
      </c>
      <c r="C351" s="2" t="s">
        <v>25</v>
      </c>
      <c r="D351" s="2" t="s">
        <v>23</v>
      </c>
      <c r="E351" s="2" t="s">
        <v>35</v>
      </c>
      <c r="F351" s="2" t="s">
        <v>32</v>
      </c>
      <c r="G351" s="2">
        <v>9</v>
      </c>
      <c r="H351" s="2">
        <v>10</v>
      </c>
      <c r="I351" s="2">
        <v>90</v>
      </c>
      <c r="J351" s="2">
        <v>88</v>
      </c>
      <c r="K351" s="2" t="s">
        <v>15</v>
      </c>
      <c r="L351" s="19">
        <f>SalesData!I351/SalesData!J351</f>
        <v>1.0227272727272727</v>
      </c>
    </row>
    <row r="352" spans="1:12" x14ac:dyDescent="0.25">
      <c r="A352" s="2">
        <v>1351</v>
      </c>
      <c r="B352" s="3">
        <v>45944</v>
      </c>
      <c r="C352" s="2" t="s">
        <v>16</v>
      </c>
      <c r="D352" s="2" t="s">
        <v>12</v>
      </c>
      <c r="E352" s="2" t="s">
        <v>33</v>
      </c>
      <c r="F352" s="2" t="s">
        <v>31</v>
      </c>
      <c r="G352" s="2">
        <v>2</v>
      </c>
      <c r="H352" s="2">
        <v>465</v>
      </c>
      <c r="I352" s="2">
        <v>930</v>
      </c>
      <c r="J352" s="2">
        <v>1174</v>
      </c>
      <c r="K352" s="2" t="s">
        <v>15</v>
      </c>
      <c r="L352" s="19">
        <f>SalesData!I352/SalesData!J352</f>
        <v>0.79216354344122653</v>
      </c>
    </row>
    <row r="353" spans="1:12" x14ac:dyDescent="0.25">
      <c r="A353" s="2">
        <v>1352</v>
      </c>
      <c r="B353" s="3">
        <v>45942</v>
      </c>
      <c r="C353" s="2" t="s">
        <v>11</v>
      </c>
      <c r="D353" s="2" t="s">
        <v>17</v>
      </c>
      <c r="E353" s="2" t="s">
        <v>30</v>
      </c>
      <c r="F353" s="2" t="s">
        <v>22</v>
      </c>
      <c r="G353" s="2">
        <v>10</v>
      </c>
      <c r="H353" s="2">
        <v>217</v>
      </c>
      <c r="I353" s="2">
        <v>2170</v>
      </c>
      <c r="J353" s="2">
        <v>1796</v>
      </c>
      <c r="K353" s="2" t="s">
        <v>20</v>
      </c>
      <c r="L353" s="19">
        <f>SalesData!I353/SalesData!J353</f>
        <v>1.2082405345211582</v>
      </c>
    </row>
    <row r="354" spans="1:12" x14ac:dyDescent="0.25">
      <c r="A354" s="2">
        <v>1353</v>
      </c>
      <c r="B354" s="3">
        <v>45748</v>
      </c>
      <c r="C354" s="2" t="s">
        <v>28</v>
      </c>
      <c r="D354" s="2" t="s">
        <v>12</v>
      </c>
      <c r="E354" s="2" t="s">
        <v>33</v>
      </c>
      <c r="F354" s="2" t="s">
        <v>31</v>
      </c>
      <c r="G354" s="2">
        <v>10</v>
      </c>
      <c r="H354" s="2">
        <v>187</v>
      </c>
      <c r="I354" s="2">
        <v>1870</v>
      </c>
      <c r="J354" s="2">
        <v>1843</v>
      </c>
      <c r="K354" s="2" t="s">
        <v>15</v>
      </c>
      <c r="L354" s="19">
        <f>SalesData!I354/SalesData!J354</f>
        <v>1.0146500271296799</v>
      </c>
    </row>
    <row r="355" spans="1:12" x14ac:dyDescent="0.25">
      <c r="A355" s="2">
        <v>1354</v>
      </c>
      <c r="B355" s="3">
        <v>45794</v>
      </c>
      <c r="C355" s="2" t="s">
        <v>16</v>
      </c>
      <c r="D355" s="2" t="s">
        <v>23</v>
      </c>
      <c r="E355" s="2" t="s">
        <v>35</v>
      </c>
      <c r="F355" s="2" t="s">
        <v>14</v>
      </c>
      <c r="G355" s="2">
        <v>2</v>
      </c>
      <c r="H355" s="2">
        <v>475</v>
      </c>
      <c r="I355" s="2">
        <v>950</v>
      </c>
      <c r="J355" s="2">
        <v>884</v>
      </c>
      <c r="K355" s="2" t="s">
        <v>20</v>
      </c>
      <c r="L355" s="19">
        <f>SalesData!I355/SalesData!J355</f>
        <v>1.0746606334841629</v>
      </c>
    </row>
    <row r="356" spans="1:12" x14ac:dyDescent="0.25">
      <c r="A356" s="2">
        <v>1355</v>
      </c>
      <c r="B356" s="3">
        <v>45960</v>
      </c>
      <c r="C356" s="2" t="s">
        <v>25</v>
      </c>
      <c r="D356" s="2" t="s">
        <v>17</v>
      </c>
      <c r="E356" s="2" t="s">
        <v>18</v>
      </c>
      <c r="F356" s="2" t="s">
        <v>32</v>
      </c>
      <c r="G356" s="2">
        <v>8</v>
      </c>
      <c r="H356" s="2">
        <v>164</v>
      </c>
      <c r="I356" s="2">
        <v>1312</v>
      </c>
      <c r="J356" s="2">
        <v>1271</v>
      </c>
      <c r="K356" s="2" t="s">
        <v>15</v>
      </c>
      <c r="L356" s="19">
        <f>SalesData!I356/SalesData!J356</f>
        <v>1.032258064516129</v>
      </c>
    </row>
    <row r="357" spans="1:12" x14ac:dyDescent="0.25">
      <c r="A357" s="2">
        <v>1356</v>
      </c>
      <c r="B357" s="3">
        <v>45990</v>
      </c>
      <c r="C357" s="2" t="s">
        <v>16</v>
      </c>
      <c r="D357" s="2" t="s">
        <v>17</v>
      </c>
      <c r="E357" s="2" t="s">
        <v>30</v>
      </c>
      <c r="F357" s="2" t="s">
        <v>19</v>
      </c>
      <c r="G357" s="2">
        <v>6</v>
      </c>
      <c r="H357" s="2">
        <v>439</v>
      </c>
      <c r="I357" s="2">
        <v>2634</v>
      </c>
      <c r="J357" s="2">
        <v>2858</v>
      </c>
      <c r="K357" s="2" t="s">
        <v>20</v>
      </c>
      <c r="L357" s="19">
        <f>SalesData!I357/SalesData!J357</f>
        <v>0.92162351294611622</v>
      </c>
    </row>
    <row r="358" spans="1:12" x14ac:dyDescent="0.25">
      <c r="A358" s="2">
        <v>1357</v>
      </c>
      <c r="B358" s="3">
        <v>45722</v>
      </c>
      <c r="C358" s="2" t="s">
        <v>28</v>
      </c>
      <c r="D358" s="2" t="s">
        <v>23</v>
      </c>
      <c r="E358" s="2" t="s">
        <v>26</v>
      </c>
      <c r="F358" s="2" t="s">
        <v>31</v>
      </c>
      <c r="G358" s="2">
        <v>5</v>
      </c>
      <c r="H358" s="2">
        <v>306</v>
      </c>
      <c r="I358" s="2">
        <v>1530</v>
      </c>
      <c r="J358" s="2">
        <v>1356</v>
      </c>
      <c r="K358" s="2" t="s">
        <v>15</v>
      </c>
      <c r="L358" s="19">
        <f>SalesData!I358/SalesData!J358</f>
        <v>1.1283185840707965</v>
      </c>
    </row>
    <row r="359" spans="1:12" x14ac:dyDescent="0.25">
      <c r="A359" s="2">
        <v>1358</v>
      </c>
      <c r="B359" s="3">
        <v>45912</v>
      </c>
      <c r="C359" s="2" t="s">
        <v>28</v>
      </c>
      <c r="D359" s="2" t="s">
        <v>12</v>
      </c>
      <c r="E359" s="2" t="s">
        <v>21</v>
      </c>
      <c r="F359" s="2" t="s">
        <v>19</v>
      </c>
      <c r="G359" s="2">
        <v>2</v>
      </c>
      <c r="H359" s="2">
        <v>260</v>
      </c>
      <c r="I359" s="2">
        <v>520</v>
      </c>
      <c r="J359" s="2">
        <v>631</v>
      </c>
      <c r="K359" s="2" t="s">
        <v>20</v>
      </c>
      <c r="L359" s="19">
        <f>SalesData!I359/SalesData!J359</f>
        <v>0.82408874801901744</v>
      </c>
    </row>
    <row r="360" spans="1:12" x14ac:dyDescent="0.25">
      <c r="A360" s="2">
        <v>1359</v>
      </c>
      <c r="B360" s="3">
        <v>45969</v>
      </c>
      <c r="C360" s="2" t="s">
        <v>25</v>
      </c>
      <c r="D360" s="2" t="s">
        <v>17</v>
      </c>
      <c r="E360" s="2" t="s">
        <v>27</v>
      </c>
      <c r="F360" s="2" t="s">
        <v>29</v>
      </c>
      <c r="G360" s="2">
        <v>7</v>
      </c>
      <c r="H360" s="2">
        <v>489</v>
      </c>
      <c r="I360" s="2">
        <v>3423</v>
      </c>
      <c r="J360" s="2">
        <v>3361</v>
      </c>
      <c r="K360" s="2" t="s">
        <v>15</v>
      </c>
      <c r="L360" s="19">
        <f>SalesData!I360/SalesData!J360</f>
        <v>1.0184468908063076</v>
      </c>
    </row>
    <row r="361" spans="1:12" x14ac:dyDescent="0.25">
      <c r="A361" s="2">
        <v>1360</v>
      </c>
      <c r="B361" s="3">
        <v>45784</v>
      </c>
      <c r="C361" s="2" t="s">
        <v>28</v>
      </c>
      <c r="D361" s="2" t="s">
        <v>23</v>
      </c>
      <c r="E361" s="2" t="s">
        <v>35</v>
      </c>
      <c r="F361" s="2" t="s">
        <v>31</v>
      </c>
      <c r="G361" s="2">
        <v>6</v>
      </c>
      <c r="H361" s="2">
        <v>80</v>
      </c>
      <c r="I361" s="2">
        <v>480</v>
      </c>
      <c r="J361" s="2">
        <v>398</v>
      </c>
      <c r="K361" s="2" t="s">
        <v>15</v>
      </c>
      <c r="L361" s="19">
        <f>SalesData!I361/SalesData!J361</f>
        <v>1.2060301507537687</v>
      </c>
    </row>
    <row r="362" spans="1:12" x14ac:dyDescent="0.25">
      <c r="A362" s="2">
        <v>1361</v>
      </c>
      <c r="B362" s="3">
        <v>45686</v>
      </c>
      <c r="C362" s="2" t="s">
        <v>11</v>
      </c>
      <c r="D362" s="2" t="s">
        <v>23</v>
      </c>
      <c r="E362" s="2" t="s">
        <v>26</v>
      </c>
      <c r="F362" s="2" t="s">
        <v>32</v>
      </c>
      <c r="G362" s="2">
        <v>3</v>
      </c>
      <c r="H362" s="2">
        <v>414</v>
      </c>
      <c r="I362" s="2">
        <v>1242</v>
      </c>
      <c r="J362" s="2">
        <v>1597</v>
      </c>
      <c r="K362" s="2" t="s">
        <v>20</v>
      </c>
      <c r="L362" s="19">
        <f>SalesData!I362/SalesData!J362</f>
        <v>0.77770820288040077</v>
      </c>
    </row>
    <row r="363" spans="1:12" x14ac:dyDescent="0.25">
      <c r="A363" s="2">
        <v>1362</v>
      </c>
      <c r="B363" s="3">
        <v>45768</v>
      </c>
      <c r="C363" s="2" t="s">
        <v>11</v>
      </c>
      <c r="D363" s="2" t="s">
        <v>17</v>
      </c>
      <c r="E363" s="2" t="s">
        <v>30</v>
      </c>
      <c r="F363" s="2" t="s">
        <v>19</v>
      </c>
      <c r="G363" s="2">
        <v>9</v>
      </c>
      <c r="H363" s="2">
        <v>154</v>
      </c>
      <c r="I363" s="2">
        <v>1386</v>
      </c>
      <c r="J363" s="2">
        <v>1475</v>
      </c>
      <c r="K363" s="2" t="s">
        <v>20</v>
      </c>
      <c r="L363" s="19">
        <f>SalesData!I363/SalesData!J363</f>
        <v>0.93966101694915249</v>
      </c>
    </row>
    <row r="364" spans="1:12" x14ac:dyDescent="0.25">
      <c r="A364" s="2">
        <v>1363</v>
      </c>
      <c r="B364" s="3">
        <v>45792</v>
      </c>
      <c r="C364" s="2" t="s">
        <v>25</v>
      </c>
      <c r="D364" s="2" t="s">
        <v>17</v>
      </c>
      <c r="E364" s="2" t="s">
        <v>30</v>
      </c>
      <c r="F364" s="2" t="s">
        <v>29</v>
      </c>
      <c r="G364" s="2">
        <v>5</v>
      </c>
      <c r="H364" s="2">
        <v>138</v>
      </c>
      <c r="I364" s="2">
        <v>690</v>
      </c>
      <c r="J364" s="2">
        <v>613</v>
      </c>
      <c r="K364" s="2" t="s">
        <v>15</v>
      </c>
      <c r="L364" s="19">
        <f>SalesData!I364/SalesData!J364</f>
        <v>1.1256117455138663</v>
      </c>
    </row>
    <row r="365" spans="1:12" x14ac:dyDescent="0.25">
      <c r="A365" s="2">
        <v>1364</v>
      </c>
      <c r="B365" s="3">
        <v>45818</v>
      </c>
      <c r="C365" s="2" t="s">
        <v>16</v>
      </c>
      <c r="D365" s="2" t="s">
        <v>12</v>
      </c>
      <c r="E365" s="2" t="s">
        <v>13</v>
      </c>
      <c r="F365" s="2" t="s">
        <v>31</v>
      </c>
      <c r="G365" s="2">
        <v>4</v>
      </c>
      <c r="H365" s="2">
        <v>283</v>
      </c>
      <c r="I365" s="2">
        <v>1132</v>
      </c>
      <c r="J365" s="2">
        <v>952</v>
      </c>
      <c r="K365" s="2" t="s">
        <v>20</v>
      </c>
      <c r="L365" s="19">
        <f>SalesData!I365/SalesData!J365</f>
        <v>1.1890756302521008</v>
      </c>
    </row>
    <row r="366" spans="1:12" x14ac:dyDescent="0.25">
      <c r="A366" s="2">
        <v>1365</v>
      </c>
      <c r="B366" s="3">
        <v>45838</v>
      </c>
      <c r="C366" s="2" t="s">
        <v>25</v>
      </c>
      <c r="D366" s="2" t="s">
        <v>12</v>
      </c>
      <c r="E366" s="2" t="s">
        <v>34</v>
      </c>
      <c r="F366" s="2" t="s">
        <v>19</v>
      </c>
      <c r="G366" s="2">
        <v>10</v>
      </c>
      <c r="H366" s="2">
        <v>224</v>
      </c>
      <c r="I366" s="2">
        <v>2240</v>
      </c>
      <c r="J366" s="2">
        <v>2467</v>
      </c>
      <c r="K366" s="2" t="s">
        <v>15</v>
      </c>
      <c r="L366" s="19">
        <f>SalesData!I366/SalesData!J366</f>
        <v>0.90798540737738143</v>
      </c>
    </row>
    <row r="367" spans="1:12" x14ac:dyDescent="0.25">
      <c r="A367" s="2">
        <v>1366</v>
      </c>
      <c r="B367" s="3">
        <v>45997</v>
      </c>
      <c r="C367" s="2" t="s">
        <v>25</v>
      </c>
      <c r="D367" s="2" t="s">
        <v>12</v>
      </c>
      <c r="E367" s="2" t="s">
        <v>21</v>
      </c>
      <c r="F367" s="2" t="s">
        <v>14</v>
      </c>
      <c r="G367" s="2">
        <v>10</v>
      </c>
      <c r="H367" s="2">
        <v>361</v>
      </c>
      <c r="I367" s="2">
        <v>3610</v>
      </c>
      <c r="J367" s="2">
        <v>3197</v>
      </c>
      <c r="K367" s="2" t="s">
        <v>15</v>
      </c>
      <c r="L367" s="19">
        <f>SalesData!I367/SalesData!J367</f>
        <v>1.129183609634032</v>
      </c>
    </row>
    <row r="368" spans="1:12" x14ac:dyDescent="0.25">
      <c r="A368" s="2">
        <v>1367</v>
      </c>
      <c r="B368" s="3">
        <v>45712</v>
      </c>
      <c r="C368" s="2" t="s">
        <v>28</v>
      </c>
      <c r="D368" s="2" t="s">
        <v>12</v>
      </c>
      <c r="E368" s="2" t="s">
        <v>34</v>
      </c>
      <c r="F368" s="2" t="s">
        <v>19</v>
      </c>
      <c r="G368" s="2">
        <v>3</v>
      </c>
      <c r="H368" s="2">
        <v>246</v>
      </c>
      <c r="I368" s="2">
        <v>738</v>
      </c>
      <c r="J368" s="2">
        <v>943</v>
      </c>
      <c r="K368" s="2" t="s">
        <v>20</v>
      </c>
      <c r="L368" s="19">
        <f>SalesData!I368/SalesData!J368</f>
        <v>0.78260869565217395</v>
      </c>
    </row>
    <row r="369" spans="1:12" x14ac:dyDescent="0.25">
      <c r="A369" s="2">
        <v>1368</v>
      </c>
      <c r="B369" s="3">
        <v>45943</v>
      </c>
      <c r="C369" s="2" t="s">
        <v>16</v>
      </c>
      <c r="D369" s="2" t="s">
        <v>23</v>
      </c>
      <c r="E369" s="2" t="s">
        <v>24</v>
      </c>
      <c r="F369" s="2" t="s">
        <v>32</v>
      </c>
      <c r="G369" s="2">
        <v>4</v>
      </c>
      <c r="H369" s="2">
        <v>381</v>
      </c>
      <c r="I369" s="2">
        <v>1524</v>
      </c>
      <c r="J369" s="2">
        <v>1848</v>
      </c>
      <c r="K369" s="2" t="s">
        <v>20</v>
      </c>
      <c r="L369" s="19">
        <f>SalesData!I369/SalesData!J369</f>
        <v>0.82467532467532467</v>
      </c>
    </row>
    <row r="370" spans="1:12" x14ac:dyDescent="0.25">
      <c r="A370" s="2">
        <v>1369</v>
      </c>
      <c r="B370" s="3">
        <v>45827</v>
      </c>
      <c r="C370" s="2" t="s">
        <v>28</v>
      </c>
      <c r="D370" s="2" t="s">
        <v>12</v>
      </c>
      <c r="E370" s="2" t="s">
        <v>33</v>
      </c>
      <c r="F370" s="2" t="s">
        <v>29</v>
      </c>
      <c r="G370" s="2">
        <v>7</v>
      </c>
      <c r="H370" s="2">
        <v>377</v>
      </c>
      <c r="I370" s="2">
        <v>2639</v>
      </c>
      <c r="J370" s="2">
        <v>3350</v>
      </c>
      <c r="K370" s="2" t="s">
        <v>15</v>
      </c>
      <c r="L370" s="19">
        <f>SalesData!I370/SalesData!J370</f>
        <v>0.78776119402985079</v>
      </c>
    </row>
    <row r="371" spans="1:12" x14ac:dyDescent="0.25">
      <c r="A371" s="2">
        <v>1370</v>
      </c>
      <c r="B371" s="3">
        <v>45756</v>
      </c>
      <c r="C371" s="2" t="s">
        <v>25</v>
      </c>
      <c r="D371" s="2" t="s">
        <v>12</v>
      </c>
      <c r="E371" s="2" t="s">
        <v>21</v>
      </c>
      <c r="F371" s="2" t="s">
        <v>14</v>
      </c>
      <c r="G371" s="2">
        <v>2</v>
      </c>
      <c r="H371" s="2">
        <v>388</v>
      </c>
      <c r="I371" s="2">
        <v>776</v>
      </c>
      <c r="J371" s="2">
        <v>896</v>
      </c>
      <c r="K371" s="2" t="s">
        <v>15</v>
      </c>
      <c r="L371" s="19">
        <f>SalesData!I371/SalesData!J371</f>
        <v>0.8660714285714286</v>
      </c>
    </row>
    <row r="372" spans="1:12" x14ac:dyDescent="0.25">
      <c r="A372" s="2">
        <v>1371</v>
      </c>
      <c r="B372" s="3">
        <v>45858</v>
      </c>
      <c r="C372" s="2" t="s">
        <v>28</v>
      </c>
      <c r="D372" s="2" t="s">
        <v>17</v>
      </c>
      <c r="E372" s="2" t="s">
        <v>18</v>
      </c>
      <c r="F372" s="2" t="s">
        <v>22</v>
      </c>
      <c r="G372" s="2">
        <v>3</v>
      </c>
      <c r="H372" s="2">
        <v>78</v>
      </c>
      <c r="I372" s="2">
        <v>234</v>
      </c>
      <c r="J372" s="2">
        <v>272</v>
      </c>
      <c r="K372" s="2" t="s">
        <v>20</v>
      </c>
      <c r="L372" s="19">
        <f>SalesData!I372/SalesData!J372</f>
        <v>0.86029411764705888</v>
      </c>
    </row>
    <row r="373" spans="1:12" x14ac:dyDescent="0.25">
      <c r="A373" s="2">
        <v>1372</v>
      </c>
      <c r="B373" s="3">
        <v>45964</v>
      </c>
      <c r="C373" s="2" t="s">
        <v>11</v>
      </c>
      <c r="D373" s="2" t="s">
        <v>23</v>
      </c>
      <c r="E373" s="2" t="s">
        <v>35</v>
      </c>
      <c r="F373" s="2" t="s">
        <v>19</v>
      </c>
      <c r="G373" s="2">
        <v>3</v>
      </c>
      <c r="H373" s="2">
        <v>95</v>
      </c>
      <c r="I373" s="2">
        <v>285</v>
      </c>
      <c r="J373" s="2">
        <v>265</v>
      </c>
      <c r="K373" s="2" t="s">
        <v>15</v>
      </c>
      <c r="L373" s="19">
        <f>SalesData!I373/SalesData!J373</f>
        <v>1.0754716981132075</v>
      </c>
    </row>
    <row r="374" spans="1:12" x14ac:dyDescent="0.25">
      <c r="A374" s="2">
        <v>1373</v>
      </c>
      <c r="B374" s="3">
        <v>45862</v>
      </c>
      <c r="C374" s="2" t="s">
        <v>25</v>
      </c>
      <c r="D374" s="2" t="s">
        <v>12</v>
      </c>
      <c r="E374" s="2" t="s">
        <v>13</v>
      </c>
      <c r="F374" s="2" t="s">
        <v>14</v>
      </c>
      <c r="G374" s="2">
        <v>3</v>
      </c>
      <c r="H374" s="2">
        <v>201</v>
      </c>
      <c r="I374" s="2">
        <v>603</v>
      </c>
      <c r="J374" s="2">
        <v>625</v>
      </c>
      <c r="K374" s="2" t="s">
        <v>20</v>
      </c>
      <c r="L374" s="19">
        <f>SalesData!I374/SalesData!J374</f>
        <v>0.96479999999999999</v>
      </c>
    </row>
    <row r="375" spans="1:12" x14ac:dyDescent="0.25">
      <c r="A375" s="2">
        <v>1374</v>
      </c>
      <c r="B375" s="3">
        <v>46001</v>
      </c>
      <c r="C375" s="2" t="s">
        <v>16</v>
      </c>
      <c r="D375" s="2" t="s">
        <v>17</v>
      </c>
      <c r="E375" s="2" t="s">
        <v>18</v>
      </c>
      <c r="F375" s="2" t="s">
        <v>14</v>
      </c>
      <c r="G375" s="2">
        <v>9</v>
      </c>
      <c r="H375" s="2">
        <v>37</v>
      </c>
      <c r="I375" s="2">
        <v>333</v>
      </c>
      <c r="J375" s="2">
        <v>364</v>
      </c>
      <c r="K375" s="2" t="s">
        <v>15</v>
      </c>
      <c r="L375" s="19">
        <f>SalesData!I375/SalesData!J375</f>
        <v>0.9148351648351648</v>
      </c>
    </row>
    <row r="376" spans="1:12" x14ac:dyDescent="0.25">
      <c r="A376" s="2">
        <v>1375</v>
      </c>
      <c r="B376" s="3">
        <v>45987</v>
      </c>
      <c r="C376" s="2" t="s">
        <v>16</v>
      </c>
      <c r="D376" s="2" t="s">
        <v>17</v>
      </c>
      <c r="E376" s="2" t="s">
        <v>30</v>
      </c>
      <c r="F376" s="2" t="s">
        <v>31</v>
      </c>
      <c r="G376" s="2">
        <v>1</v>
      </c>
      <c r="H376" s="2">
        <v>132</v>
      </c>
      <c r="I376" s="2">
        <v>132</v>
      </c>
      <c r="J376" s="2">
        <v>161</v>
      </c>
      <c r="K376" s="2" t="s">
        <v>20</v>
      </c>
      <c r="L376" s="19">
        <f>SalesData!I376/SalesData!J376</f>
        <v>0.81987577639751552</v>
      </c>
    </row>
    <row r="377" spans="1:12" x14ac:dyDescent="0.25">
      <c r="A377" s="2">
        <v>1376</v>
      </c>
      <c r="B377" s="3">
        <v>45669</v>
      </c>
      <c r="C377" s="2" t="s">
        <v>16</v>
      </c>
      <c r="D377" s="2" t="s">
        <v>23</v>
      </c>
      <c r="E377" s="2" t="s">
        <v>24</v>
      </c>
      <c r="F377" s="2" t="s">
        <v>31</v>
      </c>
      <c r="G377" s="2">
        <v>2</v>
      </c>
      <c r="H377" s="2">
        <v>349</v>
      </c>
      <c r="I377" s="2">
        <v>698</v>
      </c>
      <c r="J377" s="2">
        <v>900</v>
      </c>
      <c r="K377" s="2" t="s">
        <v>20</v>
      </c>
      <c r="L377" s="19">
        <f>SalesData!I377/SalesData!J377</f>
        <v>0.77555555555555555</v>
      </c>
    </row>
    <row r="378" spans="1:12" x14ac:dyDescent="0.25">
      <c r="A378" s="2">
        <v>1377</v>
      </c>
      <c r="B378" s="3">
        <v>45810</v>
      </c>
      <c r="C378" s="2" t="s">
        <v>28</v>
      </c>
      <c r="D378" s="2" t="s">
        <v>17</v>
      </c>
      <c r="E378" s="2" t="s">
        <v>27</v>
      </c>
      <c r="F378" s="2" t="s">
        <v>14</v>
      </c>
      <c r="G378" s="2">
        <v>3</v>
      </c>
      <c r="H378" s="2">
        <v>66</v>
      </c>
      <c r="I378" s="2">
        <v>198</v>
      </c>
      <c r="J378" s="2">
        <v>170</v>
      </c>
      <c r="K378" s="2" t="s">
        <v>20</v>
      </c>
      <c r="L378" s="19">
        <f>SalesData!I378/SalesData!J378</f>
        <v>1.1647058823529413</v>
      </c>
    </row>
    <row r="379" spans="1:12" x14ac:dyDescent="0.25">
      <c r="A379" s="2">
        <v>1378</v>
      </c>
      <c r="B379" s="3">
        <v>45660</v>
      </c>
      <c r="C379" s="2" t="s">
        <v>25</v>
      </c>
      <c r="D379" s="2" t="s">
        <v>23</v>
      </c>
      <c r="E379" s="2" t="s">
        <v>35</v>
      </c>
      <c r="F379" s="2" t="s">
        <v>32</v>
      </c>
      <c r="G379" s="2">
        <v>5</v>
      </c>
      <c r="H379" s="2">
        <v>276</v>
      </c>
      <c r="I379" s="2">
        <v>1380</v>
      </c>
      <c r="J379" s="2">
        <v>1571</v>
      </c>
      <c r="K379" s="2" t="s">
        <v>20</v>
      </c>
      <c r="L379" s="19">
        <f>SalesData!I379/SalesData!J379</f>
        <v>0.87842138765117761</v>
      </c>
    </row>
    <row r="380" spans="1:12" x14ac:dyDescent="0.25">
      <c r="A380" s="2">
        <v>1379</v>
      </c>
      <c r="B380" s="3">
        <v>45915</v>
      </c>
      <c r="C380" s="2" t="s">
        <v>25</v>
      </c>
      <c r="D380" s="2" t="s">
        <v>17</v>
      </c>
      <c r="E380" s="2" t="s">
        <v>30</v>
      </c>
      <c r="F380" s="2" t="s">
        <v>29</v>
      </c>
      <c r="G380" s="2">
        <v>1</v>
      </c>
      <c r="H380" s="2">
        <v>399</v>
      </c>
      <c r="I380" s="2">
        <v>399</v>
      </c>
      <c r="J380" s="2">
        <v>416</v>
      </c>
      <c r="K380" s="2" t="s">
        <v>15</v>
      </c>
      <c r="L380" s="19">
        <f>SalesData!I380/SalesData!J380</f>
        <v>0.95913461538461542</v>
      </c>
    </row>
    <row r="381" spans="1:12" x14ac:dyDescent="0.25">
      <c r="A381" s="2">
        <v>1380</v>
      </c>
      <c r="B381" s="3">
        <v>45797</v>
      </c>
      <c r="C381" s="2" t="s">
        <v>11</v>
      </c>
      <c r="D381" s="2" t="s">
        <v>23</v>
      </c>
      <c r="E381" s="2" t="s">
        <v>35</v>
      </c>
      <c r="F381" s="2" t="s">
        <v>14</v>
      </c>
      <c r="G381" s="2">
        <v>1</v>
      </c>
      <c r="H381" s="2">
        <v>102</v>
      </c>
      <c r="I381" s="2">
        <v>102</v>
      </c>
      <c r="J381" s="2">
        <v>123</v>
      </c>
      <c r="K381" s="2" t="s">
        <v>15</v>
      </c>
      <c r="L381" s="19">
        <f>SalesData!I381/SalesData!J381</f>
        <v>0.82926829268292679</v>
      </c>
    </row>
    <row r="382" spans="1:12" x14ac:dyDescent="0.25">
      <c r="A382" s="2">
        <v>1381</v>
      </c>
      <c r="B382" s="3">
        <v>45963</v>
      </c>
      <c r="C382" s="2" t="s">
        <v>11</v>
      </c>
      <c r="D382" s="2" t="s">
        <v>23</v>
      </c>
      <c r="E382" s="2" t="s">
        <v>24</v>
      </c>
      <c r="F382" s="2" t="s">
        <v>29</v>
      </c>
      <c r="G382" s="2">
        <v>7</v>
      </c>
      <c r="H382" s="2">
        <v>305</v>
      </c>
      <c r="I382" s="2">
        <v>2135</v>
      </c>
      <c r="J382" s="2">
        <v>1875</v>
      </c>
      <c r="K382" s="2" t="s">
        <v>20</v>
      </c>
      <c r="L382" s="19">
        <f>SalesData!I382/SalesData!J382</f>
        <v>1.1386666666666667</v>
      </c>
    </row>
    <row r="383" spans="1:12" x14ac:dyDescent="0.25">
      <c r="A383" s="2">
        <v>1382</v>
      </c>
      <c r="B383" s="3">
        <v>45733</v>
      </c>
      <c r="C383" s="2" t="s">
        <v>25</v>
      </c>
      <c r="D383" s="2" t="s">
        <v>17</v>
      </c>
      <c r="E383" s="2" t="s">
        <v>18</v>
      </c>
      <c r="F383" s="2" t="s">
        <v>19</v>
      </c>
      <c r="G383" s="2">
        <v>4</v>
      </c>
      <c r="H383" s="2">
        <v>336</v>
      </c>
      <c r="I383" s="2">
        <v>1344</v>
      </c>
      <c r="J383" s="2">
        <v>1177</v>
      </c>
      <c r="K383" s="2" t="s">
        <v>15</v>
      </c>
      <c r="L383" s="19">
        <f>SalesData!I383/SalesData!J383</f>
        <v>1.1418861512319456</v>
      </c>
    </row>
    <row r="384" spans="1:12" x14ac:dyDescent="0.25">
      <c r="A384" s="2">
        <v>1383</v>
      </c>
      <c r="B384" s="3">
        <v>45839</v>
      </c>
      <c r="C384" s="2" t="s">
        <v>25</v>
      </c>
      <c r="D384" s="2" t="s">
        <v>17</v>
      </c>
      <c r="E384" s="2" t="s">
        <v>27</v>
      </c>
      <c r="F384" s="2" t="s">
        <v>32</v>
      </c>
      <c r="G384" s="2">
        <v>1</v>
      </c>
      <c r="H384" s="2">
        <v>35</v>
      </c>
      <c r="I384" s="2">
        <v>35</v>
      </c>
      <c r="J384" s="2">
        <v>38</v>
      </c>
      <c r="K384" s="2" t="s">
        <v>15</v>
      </c>
      <c r="L384" s="19">
        <f>SalesData!I384/SalesData!J384</f>
        <v>0.92105263157894735</v>
      </c>
    </row>
    <row r="385" spans="1:12" x14ac:dyDescent="0.25">
      <c r="A385" s="2">
        <v>1384</v>
      </c>
      <c r="B385" s="3">
        <v>45786</v>
      </c>
      <c r="C385" s="2" t="s">
        <v>16</v>
      </c>
      <c r="D385" s="2" t="s">
        <v>23</v>
      </c>
      <c r="E385" s="2" t="s">
        <v>24</v>
      </c>
      <c r="F385" s="2" t="s">
        <v>31</v>
      </c>
      <c r="G385" s="2">
        <v>4</v>
      </c>
      <c r="H385" s="2">
        <v>146</v>
      </c>
      <c r="I385" s="2">
        <v>584</v>
      </c>
      <c r="J385" s="2">
        <v>655</v>
      </c>
      <c r="K385" s="2" t="s">
        <v>20</v>
      </c>
      <c r="L385" s="19">
        <f>SalesData!I385/SalesData!J385</f>
        <v>0.89160305343511448</v>
      </c>
    </row>
    <row r="386" spans="1:12" x14ac:dyDescent="0.25">
      <c r="A386" s="2">
        <v>1385</v>
      </c>
      <c r="B386" s="3">
        <v>45659</v>
      </c>
      <c r="C386" s="2" t="s">
        <v>28</v>
      </c>
      <c r="D386" s="2" t="s">
        <v>23</v>
      </c>
      <c r="E386" s="2" t="s">
        <v>26</v>
      </c>
      <c r="F386" s="2" t="s">
        <v>31</v>
      </c>
      <c r="G386" s="2">
        <v>2</v>
      </c>
      <c r="H386" s="2">
        <v>471</v>
      </c>
      <c r="I386" s="2">
        <v>942</v>
      </c>
      <c r="J386" s="2">
        <v>915</v>
      </c>
      <c r="K386" s="2" t="s">
        <v>15</v>
      </c>
      <c r="L386" s="19">
        <f>SalesData!I386/SalesData!J386</f>
        <v>1.0295081967213116</v>
      </c>
    </row>
    <row r="387" spans="1:12" x14ac:dyDescent="0.25">
      <c r="A387" s="2">
        <v>1386</v>
      </c>
      <c r="B387" s="3">
        <v>45706</v>
      </c>
      <c r="C387" s="2" t="s">
        <v>16</v>
      </c>
      <c r="D387" s="2" t="s">
        <v>17</v>
      </c>
      <c r="E387" s="2" t="s">
        <v>30</v>
      </c>
      <c r="F387" s="2" t="s">
        <v>32</v>
      </c>
      <c r="G387" s="2">
        <v>1</v>
      </c>
      <c r="H387" s="2">
        <v>121</v>
      </c>
      <c r="I387" s="2">
        <v>121</v>
      </c>
      <c r="J387" s="2">
        <v>126</v>
      </c>
      <c r="K387" s="2" t="s">
        <v>20</v>
      </c>
      <c r="L387" s="19">
        <f>SalesData!I387/SalesData!J387</f>
        <v>0.96031746031746035</v>
      </c>
    </row>
    <row r="388" spans="1:12" x14ac:dyDescent="0.25">
      <c r="A388" s="2">
        <v>1387</v>
      </c>
      <c r="B388" s="3">
        <v>45668</v>
      </c>
      <c r="C388" s="2" t="s">
        <v>28</v>
      </c>
      <c r="D388" s="2" t="s">
        <v>12</v>
      </c>
      <c r="E388" s="2" t="s">
        <v>33</v>
      </c>
      <c r="F388" s="2" t="s">
        <v>32</v>
      </c>
      <c r="G388" s="2">
        <v>3</v>
      </c>
      <c r="H388" s="2">
        <v>497</v>
      </c>
      <c r="I388" s="2">
        <v>1491</v>
      </c>
      <c r="J388" s="2">
        <v>1676</v>
      </c>
      <c r="K388" s="2" t="s">
        <v>20</v>
      </c>
      <c r="L388" s="19">
        <f>SalesData!I388/SalesData!J388</f>
        <v>0.88961813842482096</v>
      </c>
    </row>
    <row r="389" spans="1:12" x14ac:dyDescent="0.25">
      <c r="A389" s="2">
        <v>1388</v>
      </c>
      <c r="B389" s="3">
        <v>46022</v>
      </c>
      <c r="C389" s="2" t="s">
        <v>28</v>
      </c>
      <c r="D389" s="2" t="s">
        <v>23</v>
      </c>
      <c r="E389" s="2" t="s">
        <v>26</v>
      </c>
      <c r="F389" s="2" t="s">
        <v>14</v>
      </c>
      <c r="G389" s="2">
        <v>2</v>
      </c>
      <c r="H389" s="2">
        <v>363</v>
      </c>
      <c r="I389" s="2">
        <v>726</v>
      </c>
      <c r="J389" s="2">
        <v>864</v>
      </c>
      <c r="K389" s="2" t="s">
        <v>20</v>
      </c>
      <c r="L389" s="19">
        <f>SalesData!I389/SalesData!J389</f>
        <v>0.84027777777777779</v>
      </c>
    </row>
    <row r="390" spans="1:12" x14ac:dyDescent="0.25">
      <c r="A390" s="2">
        <v>1389</v>
      </c>
      <c r="B390" s="3">
        <v>45880</v>
      </c>
      <c r="C390" s="2" t="s">
        <v>25</v>
      </c>
      <c r="D390" s="2" t="s">
        <v>23</v>
      </c>
      <c r="E390" s="2" t="s">
        <v>26</v>
      </c>
      <c r="F390" s="2" t="s">
        <v>32</v>
      </c>
      <c r="G390" s="2">
        <v>4</v>
      </c>
      <c r="H390" s="2">
        <v>428</v>
      </c>
      <c r="I390" s="2">
        <v>1712</v>
      </c>
      <c r="J390" s="2">
        <v>1570</v>
      </c>
      <c r="K390" s="2" t="s">
        <v>20</v>
      </c>
      <c r="L390" s="19">
        <f>SalesData!I390/SalesData!J390</f>
        <v>1.0904458598726114</v>
      </c>
    </row>
    <row r="391" spans="1:12" x14ac:dyDescent="0.25">
      <c r="A391" s="2">
        <v>1390</v>
      </c>
      <c r="B391" s="3">
        <v>45670</v>
      </c>
      <c r="C391" s="2" t="s">
        <v>11</v>
      </c>
      <c r="D391" s="2" t="s">
        <v>17</v>
      </c>
      <c r="E391" s="2" t="s">
        <v>27</v>
      </c>
      <c r="F391" s="2" t="s">
        <v>29</v>
      </c>
      <c r="G391" s="2">
        <v>7</v>
      </c>
      <c r="H391" s="2">
        <v>98</v>
      </c>
      <c r="I391" s="2">
        <v>686</v>
      </c>
      <c r="J391" s="2">
        <v>660</v>
      </c>
      <c r="K391" s="2" t="s">
        <v>15</v>
      </c>
      <c r="L391" s="19">
        <f>SalesData!I391/SalesData!J391</f>
        <v>1.0393939393939393</v>
      </c>
    </row>
    <row r="392" spans="1:12" x14ac:dyDescent="0.25">
      <c r="A392" s="2">
        <v>1391</v>
      </c>
      <c r="B392" s="3">
        <v>45694</v>
      </c>
      <c r="C392" s="2" t="s">
        <v>28</v>
      </c>
      <c r="D392" s="2" t="s">
        <v>17</v>
      </c>
      <c r="E392" s="2" t="s">
        <v>30</v>
      </c>
      <c r="F392" s="2" t="s">
        <v>19</v>
      </c>
      <c r="G392" s="2">
        <v>6</v>
      </c>
      <c r="H392" s="2">
        <v>395</v>
      </c>
      <c r="I392" s="2">
        <v>2370</v>
      </c>
      <c r="J392" s="2">
        <v>2409</v>
      </c>
      <c r="K392" s="2" t="s">
        <v>15</v>
      </c>
      <c r="L392" s="19">
        <f>SalesData!I392/SalesData!J392</f>
        <v>0.98381070983810714</v>
      </c>
    </row>
    <row r="393" spans="1:12" x14ac:dyDescent="0.25">
      <c r="A393" s="2">
        <v>1392</v>
      </c>
      <c r="B393" s="3">
        <v>45880</v>
      </c>
      <c r="C393" s="2" t="s">
        <v>11</v>
      </c>
      <c r="D393" s="2" t="s">
        <v>23</v>
      </c>
      <c r="E393" s="2" t="s">
        <v>35</v>
      </c>
      <c r="F393" s="2" t="s">
        <v>32</v>
      </c>
      <c r="G393" s="2">
        <v>6</v>
      </c>
      <c r="H393" s="2">
        <v>98</v>
      </c>
      <c r="I393" s="2">
        <v>588</v>
      </c>
      <c r="J393" s="2">
        <v>737</v>
      </c>
      <c r="K393" s="2" t="s">
        <v>15</v>
      </c>
      <c r="L393" s="19">
        <f>SalesData!I393/SalesData!J393</f>
        <v>0.79782903663500682</v>
      </c>
    </row>
    <row r="394" spans="1:12" x14ac:dyDescent="0.25">
      <c r="A394" s="2">
        <v>1393</v>
      </c>
      <c r="B394" s="3">
        <v>45786</v>
      </c>
      <c r="C394" s="2" t="s">
        <v>11</v>
      </c>
      <c r="D394" s="2" t="s">
        <v>23</v>
      </c>
      <c r="E394" s="2" t="s">
        <v>26</v>
      </c>
      <c r="F394" s="2" t="s">
        <v>32</v>
      </c>
      <c r="G394" s="2">
        <v>8</v>
      </c>
      <c r="H394" s="2">
        <v>83</v>
      </c>
      <c r="I394" s="2">
        <v>664</v>
      </c>
      <c r="J394" s="2">
        <v>624</v>
      </c>
      <c r="K394" s="2" t="s">
        <v>20</v>
      </c>
      <c r="L394" s="19">
        <f>SalesData!I394/SalesData!J394</f>
        <v>1.0641025641025641</v>
      </c>
    </row>
    <row r="395" spans="1:12" x14ac:dyDescent="0.25">
      <c r="A395" s="2">
        <v>1394</v>
      </c>
      <c r="B395" s="3">
        <v>45811</v>
      </c>
      <c r="C395" s="2" t="s">
        <v>25</v>
      </c>
      <c r="D395" s="2" t="s">
        <v>17</v>
      </c>
      <c r="E395" s="2" t="s">
        <v>18</v>
      </c>
      <c r="F395" s="2" t="s">
        <v>29</v>
      </c>
      <c r="G395" s="2">
        <v>2</v>
      </c>
      <c r="H395" s="2">
        <v>387</v>
      </c>
      <c r="I395" s="2">
        <v>774</v>
      </c>
      <c r="J395" s="2">
        <v>887</v>
      </c>
      <c r="K395" s="2" t="s">
        <v>20</v>
      </c>
      <c r="L395" s="19">
        <f>SalesData!I395/SalesData!J395</f>
        <v>0.87260428410372037</v>
      </c>
    </row>
    <row r="396" spans="1:12" x14ac:dyDescent="0.25">
      <c r="A396" s="2">
        <v>1395</v>
      </c>
      <c r="B396" s="3">
        <v>45668</v>
      </c>
      <c r="C396" s="2" t="s">
        <v>11</v>
      </c>
      <c r="D396" s="2" t="s">
        <v>12</v>
      </c>
      <c r="E396" s="2" t="s">
        <v>34</v>
      </c>
      <c r="F396" s="2" t="s">
        <v>29</v>
      </c>
      <c r="G396" s="2">
        <v>10</v>
      </c>
      <c r="H396" s="2">
        <v>34</v>
      </c>
      <c r="I396" s="2">
        <v>340</v>
      </c>
      <c r="J396" s="2">
        <v>313</v>
      </c>
      <c r="K396" s="2" t="s">
        <v>15</v>
      </c>
      <c r="L396" s="19">
        <f>SalesData!I396/SalesData!J396</f>
        <v>1.0862619808306708</v>
      </c>
    </row>
    <row r="397" spans="1:12" x14ac:dyDescent="0.25">
      <c r="A397" s="2">
        <v>1396</v>
      </c>
      <c r="B397" s="3">
        <v>45754</v>
      </c>
      <c r="C397" s="2" t="s">
        <v>11</v>
      </c>
      <c r="D397" s="2" t="s">
        <v>12</v>
      </c>
      <c r="E397" s="2" t="s">
        <v>21</v>
      </c>
      <c r="F397" s="2" t="s">
        <v>14</v>
      </c>
      <c r="G397" s="2">
        <v>6</v>
      </c>
      <c r="H397" s="2">
        <v>495</v>
      </c>
      <c r="I397" s="2">
        <v>2970</v>
      </c>
      <c r="J397" s="2">
        <v>3618</v>
      </c>
      <c r="K397" s="2" t="s">
        <v>20</v>
      </c>
      <c r="L397" s="19">
        <f>SalesData!I397/SalesData!J397</f>
        <v>0.82089552238805974</v>
      </c>
    </row>
    <row r="398" spans="1:12" x14ac:dyDescent="0.25">
      <c r="A398" s="2">
        <v>1397</v>
      </c>
      <c r="B398" s="3">
        <v>45841</v>
      </c>
      <c r="C398" s="2" t="s">
        <v>11</v>
      </c>
      <c r="D398" s="2" t="s">
        <v>23</v>
      </c>
      <c r="E398" s="2" t="s">
        <v>24</v>
      </c>
      <c r="F398" s="2" t="s">
        <v>14</v>
      </c>
      <c r="G398" s="2">
        <v>10</v>
      </c>
      <c r="H398" s="2">
        <v>340</v>
      </c>
      <c r="I398" s="2">
        <v>3400</v>
      </c>
      <c r="J398" s="2">
        <v>3309</v>
      </c>
      <c r="K398" s="2" t="s">
        <v>20</v>
      </c>
      <c r="L398" s="19">
        <f>SalesData!I398/SalesData!J398</f>
        <v>1.0275007555152613</v>
      </c>
    </row>
    <row r="399" spans="1:12" x14ac:dyDescent="0.25">
      <c r="A399" s="2">
        <v>1398</v>
      </c>
      <c r="B399" s="3">
        <v>45964</v>
      </c>
      <c r="C399" s="2" t="s">
        <v>25</v>
      </c>
      <c r="D399" s="2" t="s">
        <v>23</v>
      </c>
      <c r="E399" s="2" t="s">
        <v>24</v>
      </c>
      <c r="F399" s="2" t="s">
        <v>31</v>
      </c>
      <c r="G399" s="2">
        <v>9</v>
      </c>
      <c r="H399" s="2">
        <v>390</v>
      </c>
      <c r="I399" s="2">
        <v>3510</v>
      </c>
      <c r="J399" s="2">
        <v>2994</v>
      </c>
      <c r="K399" s="2" t="s">
        <v>20</v>
      </c>
      <c r="L399" s="19">
        <f>SalesData!I399/SalesData!J399</f>
        <v>1.1723446893787575</v>
      </c>
    </row>
    <row r="400" spans="1:12" x14ac:dyDescent="0.25">
      <c r="A400" s="2">
        <v>1399</v>
      </c>
      <c r="B400" s="3">
        <v>45828</v>
      </c>
      <c r="C400" s="2" t="s">
        <v>25</v>
      </c>
      <c r="D400" s="2" t="s">
        <v>12</v>
      </c>
      <c r="E400" s="2" t="s">
        <v>33</v>
      </c>
      <c r="F400" s="2" t="s">
        <v>22</v>
      </c>
      <c r="G400" s="2">
        <v>2</v>
      </c>
      <c r="H400" s="2">
        <v>17</v>
      </c>
      <c r="I400" s="2">
        <v>34</v>
      </c>
      <c r="J400" s="2">
        <v>43</v>
      </c>
      <c r="K400" s="2" t="s">
        <v>15</v>
      </c>
      <c r="L400" s="19">
        <f>SalesData!I400/SalesData!J400</f>
        <v>0.79069767441860461</v>
      </c>
    </row>
    <row r="401" spans="1:12" x14ac:dyDescent="0.25">
      <c r="A401" s="2">
        <v>1400</v>
      </c>
      <c r="B401" s="3">
        <v>45917</v>
      </c>
      <c r="C401" s="2" t="s">
        <v>16</v>
      </c>
      <c r="D401" s="2" t="s">
        <v>17</v>
      </c>
      <c r="E401" s="2" t="s">
        <v>27</v>
      </c>
      <c r="F401" s="2" t="s">
        <v>22</v>
      </c>
      <c r="G401" s="2">
        <v>1</v>
      </c>
      <c r="H401" s="2">
        <v>192</v>
      </c>
      <c r="I401" s="2">
        <v>192</v>
      </c>
      <c r="J401" s="2">
        <v>249</v>
      </c>
      <c r="K401" s="2" t="s">
        <v>20</v>
      </c>
      <c r="L401" s="19">
        <f>SalesData!I401/SalesData!J401</f>
        <v>0.77108433734939763</v>
      </c>
    </row>
    <row r="402" spans="1:12" x14ac:dyDescent="0.25">
      <c r="A402" s="2">
        <v>1401</v>
      </c>
      <c r="B402" s="3">
        <v>45991</v>
      </c>
      <c r="C402" s="2" t="s">
        <v>16</v>
      </c>
      <c r="D402" s="2" t="s">
        <v>23</v>
      </c>
      <c r="E402" s="2" t="s">
        <v>35</v>
      </c>
      <c r="F402" s="2" t="s">
        <v>32</v>
      </c>
      <c r="G402" s="2">
        <v>9</v>
      </c>
      <c r="H402" s="2">
        <v>27</v>
      </c>
      <c r="I402" s="2">
        <v>243</v>
      </c>
      <c r="J402" s="2">
        <v>295</v>
      </c>
      <c r="K402" s="2" t="s">
        <v>15</v>
      </c>
      <c r="L402" s="19">
        <f>SalesData!I402/SalesData!J402</f>
        <v>0.82372881355932204</v>
      </c>
    </row>
    <row r="403" spans="1:12" x14ac:dyDescent="0.25">
      <c r="A403" s="2">
        <v>1402</v>
      </c>
      <c r="B403" s="3">
        <v>45729</v>
      </c>
      <c r="C403" s="2" t="s">
        <v>11</v>
      </c>
      <c r="D403" s="2" t="s">
        <v>23</v>
      </c>
      <c r="E403" s="2" t="s">
        <v>24</v>
      </c>
      <c r="F403" s="2" t="s">
        <v>29</v>
      </c>
      <c r="G403" s="2">
        <v>6</v>
      </c>
      <c r="H403" s="2">
        <v>52</v>
      </c>
      <c r="I403" s="2">
        <v>312</v>
      </c>
      <c r="J403" s="2">
        <v>401</v>
      </c>
      <c r="K403" s="2" t="s">
        <v>15</v>
      </c>
      <c r="L403" s="19">
        <f>SalesData!I403/SalesData!J403</f>
        <v>0.77805486284289271</v>
      </c>
    </row>
    <row r="404" spans="1:12" x14ac:dyDescent="0.25">
      <c r="A404" s="2">
        <v>1403</v>
      </c>
      <c r="B404" s="3">
        <v>45779</v>
      </c>
      <c r="C404" s="2" t="s">
        <v>11</v>
      </c>
      <c r="D404" s="2" t="s">
        <v>23</v>
      </c>
      <c r="E404" s="2" t="s">
        <v>24</v>
      </c>
      <c r="F404" s="2" t="s">
        <v>19</v>
      </c>
      <c r="G404" s="2">
        <v>5</v>
      </c>
      <c r="H404" s="2">
        <v>485</v>
      </c>
      <c r="I404" s="2">
        <v>2425</v>
      </c>
      <c r="J404" s="2">
        <v>2085</v>
      </c>
      <c r="K404" s="2" t="s">
        <v>20</v>
      </c>
      <c r="L404" s="19">
        <f>SalesData!I404/SalesData!J404</f>
        <v>1.1630695443645085</v>
      </c>
    </row>
    <row r="405" spans="1:12" x14ac:dyDescent="0.25">
      <c r="A405" s="2">
        <v>1404</v>
      </c>
      <c r="B405" s="3">
        <v>45987</v>
      </c>
      <c r="C405" s="2" t="s">
        <v>28</v>
      </c>
      <c r="D405" s="2" t="s">
        <v>12</v>
      </c>
      <c r="E405" s="2" t="s">
        <v>34</v>
      </c>
      <c r="F405" s="2" t="s">
        <v>32</v>
      </c>
      <c r="G405" s="2">
        <v>3</v>
      </c>
      <c r="H405" s="2">
        <v>290</v>
      </c>
      <c r="I405" s="2">
        <v>870</v>
      </c>
      <c r="J405" s="2">
        <v>883</v>
      </c>
      <c r="K405" s="2" t="s">
        <v>20</v>
      </c>
      <c r="L405" s="19">
        <f>SalesData!I405/SalesData!J405</f>
        <v>0.98527746319365794</v>
      </c>
    </row>
    <row r="406" spans="1:12" x14ac:dyDescent="0.25">
      <c r="A406" s="2">
        <v>1405</v>
      </c>
      <c r="B406" s="3">
        <v>45947</v>
      </c>
      <c r="C406" s="2" t="s">
        <v>28</v>
      </c>
      <c r="D406" s="2" t="s">
        <v>12</v>
      </c>
      <c r="E406" s="2" t="s">
        <v>33</v>
      </c>
      <c r="F406" s="2" t="s">
        <v>19</v>
      </c>
      <c r="G406" s="2">
        <v>4</v>
      </c>
      <c r="H406" s="2">
        <v>166</v>
      </c>
      <c r="I406" s="2">
        <v>664</v>
      </c>
      <c r="J406" s="2">
        <v>754</v>
      </c>
      <c r="K406" s="2" t="s">
        <v>15</v>
      </c>
      <c r="L406" s="19">
        <f>SalesData!I406/SalesData!J406</f>
        <v>0.88063660477453576</v>
      </c>
    </row>
    <row r="407" spans="1:12" x14ac:dyDescent="0.25">
      <c r="A407" s="2">
        <v>1406</v>
      </c>
      <c r="B407" s="3">
        <v>45745</v>
      </c>
      <c r="C407" s="2" t="s">
        <v>25</v>
      </c>
      <c r="D407" s="2" t="s">
        <v>17</v>
      </c>
      <c r="E407" s="2" t="s">
        <v>30</v>
      </c>
      <c r="F407" s="2" t="s">
        <v>29</v>
      </c>
      <c r="G407" s="2">
        <v>2</v>
      </c>
      <c r="H407" s="2">
        <v>171</v>
      </c>
      <c r="I407" s="2">
        <v>342</v>
      </c>
      <c r="J407" s="2">
        <v>419</v>
      </c>
      <c r="K407" s="2" t="s">
        <v>20</v>
      </c>
      <c r="L407" s="19">
        <f>SalesData!I407/SalesData!J407</f>
        <v>0.81622911694510736</v>
      </c>
    </row>
    <row r="408" spans="1:12" x14ac:dyDescent="0.25">
      <c r="A408" s="2">
        <v>1407</v>
      </c>
      <c r="B408" s="3">
        <v>45929</v>
      </c>
      <c r="C408" s="2" t="s">
        <v>28</v>
      </c>
      <c r="D408" s="2" t="s">
        <v>17</v>
      </c>
      <c r="E408" s="2" t="s">
        <v>27</v>
      </c>
      <c r="F408" s="2" t="s">
        <v>14</v>
      </c>
      <c r="G408" s="2">
        <v>8</v>
      </c>
      <c r="H408" s="2">
        <v>11</v>
      </c>
      <c r="I408" s="2">
        <v>88</v>
      </c>
      <c r="J408" s="2">
        <v>100</v>
      </c>
      <c r="K408" s="2" t="s">
        <v>20</v>
      </c>
      <c r="L408" s="19">
        <f>SalesData!I408/SalesData!J408</f>
        <v>0.88</v>
      </c>
    </row>
    <row r="409" spans="1:12" x14ac:dyDescent="0.25">
      <c r="A409" s="2">
        <v>1408</v>
      </c>
      <c r="B409" s="3">
        <v>45872</v>
      </c>
      <c r="C409" s="2" t="s">
        <v>25</v>
      </c>
      <c r="D409" s="2" t="s">
        <v>17</v>
      </c>
      <c r="E409" s="2" t="s">
        <v>30</v>
      </c>
      <c r="F409" s="2" t="s">
        <v>29</v>
      </c>
      <c r="G409" s="2">
        <v>6</v>
      </c>
      <c r="H409" s="2">
        <v>376</v>
      </c>
      <c r="I409" s="2">
        <v>2256</v>
      </c>
      <c r="J409" s="2">
        <v>2842</v>
      </c>
      <c r="K409" s="2" t="s">
        <v>20</v>
      </c>
      <c r="L409" s="19">
        <f>SalesData!I409/SalesData!J409</f>
        <v>0.79380717804363121</v>
      </c>
    </row>
    <row r="410" spans="1:12" x14ac:dyDescent="0.25">
      <c r="A410" s="2">
        <v>1409</v>
      </c>
      <c r="B410" s="3">
        <v>45746</v>
      </c>
      <c r="C410" s="2" t="s">
        <v>28</v>
      </c>
      <c r="D410" s="2" t="s">
        <v>17</v>
      </c>
      <c r="E410" s="2" t="s">
        <v>18</v>
      </c>
      <c r="F410" s="2" t="s">
        <v>19</v>
      </c>
      <c r="G410" s="2">
        <v>4</v>
      </c>
      <c r="H410" s="2">
        <v>468</v>
      </c>
      <c r="I410" s="2">
        <v>1872</v>
      </c>
      <c r="J410" s="2">
        <v>1900</v>
      </c>
      <c r="K410" s="2" t="s">
        <v>20</v>
      </c>
      <c r="L410" s="19">
        <f>SalesData!I410/SalesData!J410</f>
        <v>0.98526315789473684</v>
      </c>
    </row>
    <row r="411" spans="1:12" x14ac:dyDescent="0.25">
      <c r="A411" s="2">
        <v>1410</v>
      </c>
      <c r="B411" s="3">
        <v>45901</v>
      </c>
      <c r="C411" s="2" t="s">
        <v>25</v>
      </c>
      <c r="D411" s="2" t="s">
        <v>23</v>
      </c>
      <c r="E411" s="2" t="s">
        <v>26</v>
      </c>
      <c r="F411" s="2" t="s">
        <v>22</v>
      </c>
      <c r="G411" s="2">
        <v>1</v>
      </c>
      <c r="H411" s="2">
        <v>162</v>
      </c>
      <c r="I411" s="2">
        <v>162</v>
      </c>
      <c r="J411" s="2">
        <v>174</v>
      </c>
      <c r="K411" s="2" t="s">
        <v>20</v>
      </c>
      <c r="L411" s="19">
        <f>SalesData!I411/SalesData!J411</f>
        <v>0.93103448275862066</v>
      </c>
    </row>
    <row r="412" spans="1:12" x14ac:dyDescent="0.25">
      <c r="A412" s="2">
        <v>1411</v>
      </c>
      <c r="B412" s="3">
        <v>45948</v>
      </c>
      <c r="C412" s="2" t="s">
        <v>28</v>
      </c>
      <c r="D412" s="2" t="s">
        <v>12</v>
      </c>
      <c r="E412" s="2" t="s">
        <v>34</v>
      </c>
      <c r="F412" s="2" t="s">
        <v>14</v>
      </c>
      <c r="G412" s="2">
        <v>7</v>
      </c>
      <c r="H412" s="2">
        <v>455</v>
      </c>
      <c r="I412" s="2">
        <v>3185</v>
      </c>
      <c r="J412" s="2">
        <v>3856</v>
      </c>
      <c r="K412" s="2" t="s">
        <v>15</v>
      </c>
      <c r="L412" s="19">
        <f>SalesData!I412/SalesData!J412</f>
        <v>0.82598547717842319</v>
      </c>
    </row>
    <row r="413" spans="1:12" x14ac:dyDescent="0.25">
      <c r="A413" s="2">
        <v>1412</v>
      </c>
      <c r="B413" s="3">
        <v>45918</v>
      </c>
      <c r="C413" s="2" t="s">
        <v>16</v>
      </c>
      <c r="D413" s="2" t="s">
        <v>17</v>
      </c>
      <c r="E413" s="2" t="s">
        <v>27</v>
      </c>
      <c r="F413" s="2" t="s">
        <v>31</v>
      </c>
      <c r="G413" s="2">
        <v>8</v>
      </c>
      <c r="H413" s="2">
        <v>478</v>
      </c>
      <c r="I413" s="2">
        <v>3824</v>
      </c>
      <c r="J413" s="2">
        <v>3793</v>
      </c>
      <c r="K413" s="2" t="s">
        <v>15</v>
      </c>
      <c r="L413" s="19">
        <f>SalesData!I413/SalesData!J413</f>
        <v>1.0081729501713683</v>
      </c>
    </row>
    <row r="414" spans="1:12" x14ac:dyDescent="0.25">
      <c r="A414" s="2">
        <v>1413</v>
      </c>
      <c r="B414" s="3">
        <v>45765</v>
      </c>
      <c r="C414" s="2" t="s">
        <v>25</v>
      </c>
      <c r="D414" s="2" t="s">
        <v>12</v>
      </c>
      <c r="E414" s="2" t="s">
        <v>34</v>
      </c>
      <c r="F414" s="2" t="s">
        <v>22</v>
      </c>
      <c r="G414" s="2">
        <v>5</v>
      </c>
      <c r="H414" s="2">
        <v>282</v>
      </c>
      <c r="I414" s="2">
        <v>1410</v>
      </c>
      <c r="J414" s="2">
        <v>1331</v>
      </c>
      <c r="K414" s="2" t="s">
        <v>15</v>
      </c>
      <c r="L414" s="19">
        <f>SalesData!I414/SalesData!J414</f>
        <v>1.0593538692712245</v>
      </c>
    </row>
    <row r="415" spans="1:12" x14ac:dyDescent="0.25">
      <c r="A415" s="2">
        <v>1414</v>
      </c>
      <c r="B415" s="3">
        <v>45807</v>
      </c>
      <c r="C415" s="2" t="s">
        <v>11</v>
      </c>
      <c r="D415" s="2" t="s">
        <v>23</v>
      </c>
      <c r="E415" s="2" t="s">
        <v>24</v>
      </c>
      <c r="F415" s="2" t="s">
        <v>22</v>
      </c>
      <c r="G415" s="2">
        <v>8</v>
      </c>
      <c r="H415" s="2">
        <v>456</v>
      </c>
      <c r="I415" s="2">
        <v>3648</v>
      </c>
      <c r="J415" s="2">
        <v>4141</v>
      </c>
      <c r="K415" s="2" t="s">
        <v>15</v>
      </c>
      <c r="L415" s="19">
        <f>SalesData!I415/SalesData!J415</f>
        <v>0.88094663124849071</v>
      </c>
    </row>
    <row r="416" spans="1:12" x14ac:dyDescent="0.25">
      <c r="A416" s="2">
        <v>1415</v>
      </c>
      <c r="B416" s="3">
        <v>45843</v>
      </c>
      <c r="C416" s="2" t="s">
        <v>28</v>
      </c>
      <c r="D416" s="2" t="s">
        <v>12</v>
      </c>
      <c r="E416" s="2" t="s">
        <v>33</v>
      </c>
      <c r="F416" s="2" t="s">
        <v>31</v>
      </c>
      <c r="G416" s="2">
        <v>1</v>
      </c>
      <c r="H416" s="2">
        <v>329</v>
      </c>
      <c r="I416" s="2">
        <v>329</v>
      </c>
      <c r="J416" s="2">
        <v>419</v>
      </c>
      <c r="K416" s="2" t="s">
        <v>20</v>
      </c>
      <c r="L416" s="19">
        <f>SalesData!I416/SalesData!J416</f>
        <v>0.78520286396181382</v>
      </c>
    </row>
    <row r="417" spans="1:12" x14ac:dyDescent="0.25">
      <c r="A417" s="2">
        <v>1416</v>
      </c>
      <c r="B417" s="3">
        <v>45658</v>
      </c>
      <c r="C417" s="2" t="s">
        <v>11</v>
      </c>
      <c r="D417" s="2" t="s">
        <v>23</v>
      </c>
      <c r="E417" s="2" t="s">
        <v>26</v>
      </c>
      <c r="F417" s="2" t="s">
        <v>14</v>
      </c>
      <c r="G417" s="2">
        <v>1</v>
      </c>
      <c r="H417" s="2">
        <v>484</v>
      </c>
      <c r="I417" s="2">
        <v>484</v>
      </c>
      <c r="J417" s="2">
        <v>467</v>
      </c>
      <c r="K417" s="2" t="s">
        <v>20</v>
      </c>
      <c r="L417" s="19">
        <f>SalesData!I417/SalesData!J417</f>
        <v>1.0364025695931478</v>
      </c>
    </row>
    <row r="418" spans="1:12" x14ac:dyDescent="0.25">
      <c r="A418" s="2">
        <v>1417</v>
      </c>
      <c r="B418" s="3">
        <v>45659</v>
      </c>
      <c r="C418" s="2" t="s">
        <v>11</v>
      </c>
      <c r="D418" s="2" t="s">
        <v>12</v>
      </c>
      <c r="E418" s="2" t="s">
        <v>13</v>
      </c>
      <c r="F418" s="2" t="s">
        <v>14</v>
      </c>
      <c r="G418" s="2">
        <v>10</v>
      </c>
      <c r="H418" s="2">
        <v>277</v>
      </c>
      <c r="I418" s="2">
        <v>2770</v>
      </c>
      <c r="J418" s="2">
        <v>3280</v>
      </c>
      <c r="K418" s="2" t="s">
        <v>20</v>
      </c>
      <c r="L418" s="19">
        <f>SalesData!I418/SalesData!J418</f>
        <v>0.84451219512195119</v>
      </c>
    </row>
    <row r="419" spans="1:12" x14ac:dyDescent="0.25">
      <c r="A419" s="2">
        <v>1418</v>
      </c>
      <c r="B419" s="3">
        <v>45660</v>
      </c>
      <c r="C419" s="2" t="s">
        <v>25</v>
      </c>
      <c r="D419" s="2" t="s">
        <v>17</v>
      </c>
      <c r="E419" s="2" t="s">
        <v>30</v>
      </c>
      <c r="F419" s="2" t="s">
        <v>14</v>
      </c>
      <c r="G419" s="2">
        <v>7</v>
      </c>
      <c r="H419" s="2">
        <v>438</v>
      </c>
      <c r="I419" s="2">
        <v>3066</v>
      </c>
      <c r="J419" s="2">
        <v>3412</v>
      </c>
      <c r="K419" s="2" t="s">
        <v>15</v>
      </c>
      <c r="L419" s="19">
        <f>SalesData!I419/SalesData!J419</f>
        <v>0.89859320046893321</v>
      </c>
    </row>
    <row r="420" spans="1:12" x14ac:dyDescent="0.25">
      <c r="A420" s="2">
        <v>1419</v>
      </c>
      <c r="B420" s="3">
        <v>45892</v>
      </c>
      <c r="C420" s="2" t="s">
        <v>16</v>
      </c>
      <c r="D420" s="2" t="s">
        <v>17</v>
      </c>
      <c r="E420" s="2" t="s">
        <v>30</v>
      </c>
      <c r="F420" s="2" t="s">
        <v>29</v>
      </c>
      <c r="G420" s="2">
        <v>4</v>
      </c>
      <c r="H420" s="2">
        <v>360</v>
      </c>
      <c r="I420" s="2">
        <v>1440</v>
      </c>
      <c r="J420" s="2">
        <v>1675</v>
      </c>
      <c r="K420" s="2" t="s">
        <v>15</v>
      </c>
      <c r="L420" s="19">
        <f>SalesData!I420/SalesData!J420</f>
        <v>0.85970149253731343</v>
      </c>
    </row>
    <row r="421" spans="1:12" x14ac:dyDescent="0.25">
      <c r="A421" s="2">
        <v>1420</v>
      </c>
      <c r="B421" s="3">
        <v>45900</v>
      </c>
      <c r="C421" s="2" t="s">
        <v>16</v>
      </c>
      <c r="D421" s="2" t="s">
        <v>12</v>
      </c>
      <c r="E421" s="2" t="s">
        <v>34</v>
      </c>
      <c r="F421" s="2" t="s">
        <v>14</v>
      </c>
      <c r="G421" s="2">
        <v>9</v>
      </c>
      <c r="H421" s="2">
        <v>424</v>
      </c>
      <c r="I421" s="2">
        <v>3816</v>
      </c>
      <c r="J421" s="2">
        <v>3757</v>
      </c>
      <c r="K421" s="2" t="s">
        <v>20</v>
      </c>
      <c r="L421" s="19">
        <f>SalesData!I421/SalesData!J421</f>
        <v>1.0157040191642268</v>
      </c>
    </row>
    <row r="422" spans="1:12" x14ac:dyDescent="0.25">
      <c r="A422" s="2">
        <v>1421</v>
      </c>
      <c r="B422" s="3">
        <v>45688</v>
      </c>
      <c r="C422" s="2" t="s">
        <v>11</v>
      </c>
      <c r="D422" s="2" t="s">
        <v>23</v>
      </c>
      <c r="E422" s="2" t="s">
        <v>24</v>
      </c>
      <c r="F422" s="2" t="s">
        <v>31</v>
      </c>
      <c r="G422" s="2">
        <v>2</v>
      </c>
      <c r="H422" s="2">
        <v>85</v>
      </c>
      <c r="I422" s="2">
        <v>170</v>
      </c>
      <c r="J422" s="2">
        <v>204</v>
      </c>
      <c r="K422" s="2" t="s">
        <v>15</v>
      </c>
      <c r="L422" s="19">
        <f>SalesData!I422/SalesData!J422</f>
        <v>0.83333333333333337</v>
      </c>
    </row>
    <row r="423" spans="1:12" x14ac:dyDescent="0.25">
      <c r="A423" s="2">
        <v>1422</v>
      </c>
      <c r="B423" s="3">
        <v>45721</v>
      </c>
      <c r="C423" s="2" t="s">
        <v>11</v>
      </c>
      <c r="D423" s="2" t="s">
        <v>23</v>
      </c>
      <c r="E423" s="2" t="s">
        <v>26</v>
      </c>
      <c r="F423" s="2" t="s">
        <v>32</v>
      </c>
      <c r="G423" s="2">
        <v>5</v>
      </c>
      <c r="H423" s="2">
        <v>265</v>
      </c>
      <c r="I423" s="2">
        <v>1325</v>
      </c>
      <c r="J423" s="2">
        <v>1153</v>
      </c>
      <c r="K423" s="2" t="s">
        <v>15</v>
      </c>
      <c r="L423" s="19">
        <f>SalesData!I423/SalesData!J423</f>
        <v>1.1491760624457936</v>
      </c>
    </row>
    <row r="424" spans="1:12" x14ac:dyDescent="0.25">
      <c r="A424" s="2">
        <v>1423</v>
      </c>
      <c r="B424" s="3">
        <v>45923</v>
      </c>
      <c r="C424" s="2" t="s">
        <v>11</v>
      </c>
      <c r="D424" s="2" t="s">
        <v>23</v>
      </c>
      <c r="E424" s="2" t="s">
        <v>35</v>
      </c>
      <c r="F424" s="2" t="s">
        <v>19</v>
      </c>
      <c r="G424" s="2">
        <v>5</v>
      </c>
      <c r="H424" s="2">
        <v>494</v>
      </c>
      <c r="I424" s="2">
        <v>2470</v>
      </c>
      <c r="J424" s="2">
        <v>2788</v>
      </c>
      <c r="K424" s="2" t="s">
        <v>15</v>
      </c>
      <c r="L424" s="19">
        <f>SalesData!I424/SalesData!J424</f>
        <v>0.88593974175035872</v>
      </c>
    </row>
    <row r="425" spans="1:12" x14ac:dyDescent="0.25">
      <c r="A425" s="2">
        <v>1424</v>
      </c>
      <c r="B425" s="3">
        <v>45936</v>
      </c>
      <c r="C425" s="2" t="s">
        <v>16</v>
      </c>
      <c r="D425" s="2" t="s">
        <v>17</v>
      </c>
      <c r="E425" s="2" t="s">
        <v>27</v>
      </c>
      <c r="F425" s="2" t="s">
        <v>22</v>
      </c>
      <c r="G425" s="2">
        <v>1</v>
      </c>
      <c r="H425" s="2">
        <v>262</v>
      </c>
      <c r="I425" s="2">
        <v>262</v>
      </c>
      <c r="J425" s="2">
        <v>267</v>
      </c>
      <c r="K425" s="2" t="s">
        <v>15</v>
      </c>
      <c r="L425" s="19">
        <f>SalesData!I425/SalesData!J425</f>
        <v>0.98127340823970033</v>
      </c>
    </row>
    <row r="426" spans="1:12" x14ac:dyDescent="0.25">
      <c r="A426" s="2">
        <v>1425</v>
      </c>
      <c r="B426" s="3">
        <v>45702</v>
      </c>
      <c r="C426" s="2" t="s">
        <v>11</v>
      </c>
      <c r="D426" s="2" t="s">
        <v>12</v>
      </c>
      <c r="E426" s="2" t="s">
        <v>33</v>
      </c>
      <c r="F426" s="2" t="s">
        <v>22</v>
      </c>
      <c r="G426" s="2">
        <v>7</v>
      </c>
      <c r="H426" s="2">
        <v>346</v>
      </c>
      <c r="I426" s="2">
        <v>2422</v>
      </c>
      <c r="J426" s="2">
        <v>3129</v>
      </c>
      <c r="K426" s="2" t="s">
        <v>20</v>
      </c>
      <c r="L426" s="19">
        <f>SalesData!I426/SalesData!J426</f>
        <v>0.77404921700223717</v>
      </c>
    </row>
    <row r="427" spans="1:12" x14ac:dyDescent="0.25">
      <c r="A427" s="2">
        <v>1426</v>
      </c>
      <c r="B427" s="3">
        <v>45733</v>
      </c>
      <c r="C427" s="2" t="s">
        <v>11</v>
      </c>
      <c r="D427" s="2" t="s">
        <v>17</v>
      </c>
      <c r="E427" s="2" t="s">
        <v>27</v>
      </c>
      <c r="F427" s="2" t="s">
        <v>32</v>
      </c>
      <c r="G427" s="2">
        <v>9</v>
      </c>
      <c r="H427" s="2">
        <v>491</v>
      </c>
      <c r="I427" s="2">
        <v>4419</v>
      </c>
      <c r="J427" s="2">
        <v>4965</v>
      </c>
      <c r="K427" s="2" t="s">
        <v>15</v>
      </c>
      <c r="L427" s="19">
        <f>SalesData!I427/SalesData!J427</f>
        <v>0.89003021148036254</v>
      </c>
    </row>
    <row r="428" spans="1:12" x14ac:dyDescent="0.25">
      <c r="A428" s="2">
        <v>1427</v>
      </c>
      <c r="B428" s="3">
        <v>45768</v>
      </c>
      <c r="C428" s="2" t="s">
        <v>28</v>
      </c>
      <c r="D428" s="2" t="s">
        <v>23</v>
      </c>
      <c r="E428" s="2" t="s">
        <v>26</v>
      </c>
      <c r="F428" s="2" t="s">
        <v>14</v>
      </c>
      <c r="G428" s="2">
        <v>4</v>
      </c>
      <c r="H428" s="2">
        <v>459</v>
      </c>
      <c r="I428" s="2">
        <v>1836</v>
      </c>
      <c r="J428" s="2">
        <v>2121</v>
      </c>
      <c r="K428" s="2" t="s">
        <v>20</v>
      </c>
      <c r="L428" s="19">
        <f>SalesData!I428/SalesData!J428</f>
        <v>0.86562942008486565</v>
      </c>
    </row>
    <row r="429" spans="1:12" x14ac:dyDescent="0.25">
      <c r="A429" s="2">
        <v>1428</v>
      </c>
      <c r="B429" s="3">
        <v>45944</v>
      </c>
      <c r="C429" s="2" t="s">
        <v>16</v>
      </c>
      <c r="D429" s="2" t="s">
        <v>23</v>
      </c>
      <c r="E429" s="2" t="s">
        <v>35</v>
      </c>
      <c r="F429" s="2" t="s">
        <v>22</v>
      </c>
      <c r="G429" s="2">
        <v>10</v>
      </c>
      <c r="H429" s="2">
        <v>278</v>
      </c>
      <c r="I429" s="2">
        <v>2780</v>
      </c>
      <c r="J429" s="2">
        <v>2510</v>
      </c>
      <c r="K429" s="2" t="s">
        <v>15</v>
      </c>
      <c r="L429" s="19">
        <f>SalesData!I429/SalesData!J429</f>
        <v>1.1075697211155378</v>
      </c>
    </row>
    <row r="430" spans="1:12" x14ac:dyDescent="0.25">
      <c r="A430" s="2">
        <v>1429</v>
      </c>
      <c r="B430" s="3">
        <v>45795</v>
      </c>
      <c r="C430" s="2" t="s">
        <v>16</v>
      </c>
      <c r="D430" s="2" t="s">
        <v>12</v>
      </c>
      <c r="E430" s="2" t="s">
        <v>21</v>
      </c>
      <c r="F430" s="2" t="s">
        <v>29</v>
      </c>
      <c r="G430" s="2">
        <v>6</v>
      </c>
      <c r="H430" s="2">
        <v>67</v>
      </c>
      <c r="I430" s="2">
        <v>402</v>
      </c>
      <c r="J430" s="2">
        <v>344</v>
      </c>
      <c r="K430" s="2" t="s">
        <v>20</v>
      </c>
      <c r="L430" s="19">
        <f>SalesData!I430/SalesData!J430</f>
        <v>1.1686046511627908</v>
      </c>
    </row>
    <row r="431" spans="1:12" x14ac:dyDescent="0.25">
      <c r="A431" s="2">
        <v>1430</v>
      </c>
      <c r="B431" s="3">
        <v>45958</v>
      </c>
      <c r="C431" s="2" t="s">
        <v>16</v>
      </c>
      <c r="D431" s="2" t="s">
        <v>12</v>
      </c>
      <c r="E431" s="2" t="s">
        <v>21</v>
      </c>
      <c r="F431" s="2" t="s">
        <v>29</v>
      </c>
      <c r="G431" s="2">
        <v>7</v>
      </c>
      <c r="H431" s="2">
        <v>333</v>
      </c>
      <c r="I431" s="2">
        <v>2331</v>
      </c>
      <c r="J431" s="2">
        <v>2862</v>
      </c>
      <c r="K431" s="2" t="s">
        <v>20</v>
      </c>
      <c r="L431" s="19">
        <f>SalesData!I431/SalesData!J431</f>
        <v>0.81446540880503149</v>
      </c>
    </row>
    <row r="432" spans="1:12" x14ac:dyDescent="0.25">
      <c r="A432" s="2">
        <v>1431</v>
      </c>
      <c r="B432" s="3">
        <v>45990</v>
      </c>
      <c r="C432" s="2" t="s">
        <v>16</v>
      </c>
      <c r="D432" s="2" t="s">
        <v>12</v>
      </c>
      <c r="E432" s="2" t="s">
        <v>34</v>
      </c>
      <c r="F432" s="2" t="s">
        <v>31</v>
      </c>
      <c r="G432" s="2">
        <v>6</v>
      </c>
      <c r="H432" s="2">
        <v>172</v>
      </c>
      <c r="I432" s="2">
        <v>1032</v>
      </c>
      <c r="J432" s="2">
        <v>850</v>
      </c>
      <c r="K432" s="2" t="s">
        <v>20</v>
      </c>
      <c r="L432" s="19">
        <f>SalesData!I432/SalesData!J432</f>
        <v>1.2141176470588235</v>
      </c>
    </row>
    <row r="433" spans="1:12" x14ac:dyDescent="0.25">
      <c r="A433" s="2">
        <v>1432</v>
      </c>
      <c r="B433" s="3">
        <v>45743</v>
      </c>
      <c r="C433" s="2" t="s">
        <v>25</v>
      </c>
      <c r="D433" s="2" t="s">
        <v>12</v>
      </c>
      <c r="E433" s="2" t="s">
        <v>13</v>
      </c>
      <c r="F433" s="2" t="s">
        <v>19</v>
      </c>
      <c r="G433" s="2">
        <v>6</v>
      </c>
      <c r="H433" s="2">
        <v>301</v>
      </c>
      <c r="I433" s="2">
        <v>1806</v>
      </c>
      <c r="J433" s="2">
        <v>1924</v>
      </c>
      <c r="K433" s="2" t="s">
        <v>15</v>
      </c>
      <c r="L433" s="19">
        <f>SalesData!I433/SalesData!J433</f>
        <v>0.93866943866943864</v>
      </c>
    </row>
    <row r="434" spans="1:12" x14ac:dyDescent="0.25">
      <c r="A434" s="2">
        <v>1433</v>
      </c>
      <c r="B434" s="3">
        <v>45859</v>
      </c>
      <c r="C434" s="2" t="s">
        <v>16</v>
      </c>
      <c r="D434" s="2" t="s">
        <v>12</v>
      </c>
      <c r="E434" s="2" t="s">
        <v>33</v>
      </c>
      <c r="F434" s="2" t="s">
        <v>22</v>
      </c>
      <c r="G434" s="2">
        <v>6</v>
      </c>
      <c r="H434" s="2">
        <v>283</v>
      </c>
      <c r="I434" s="2">
        <v>1698</v>
      </c>
      <c r="J434" s="2">
        <v>1677</v>
      </c>
      <c r="K434" s="2" t="s">
        <v>20</v>
      </c>
      <c r="L434" s="19">
        <f>SalesData!I434/SalesData!J434</f>
        <v>1.0125223613595706</v>
      </c>
    </row>
    <row r="435" spans="1:12" x14ac:dyDescent="0.25">
      <c r="A435" s="2">
        <v>1434</v>
      </c>
      <c r="B435" s="3">
        <v>45990</v>
      </c>
      <c r="C435" s="2" t="s">
        <v>28</v>
      </c>
      <c r="D435" s="2" t="s">
        <v>12</v>
      </c>
      <c r="E435" s="2" t="s">
        <v>21</v>
      </c>
      <c r="F435" s="2" t="s">
        <v>31</v>
      </c>
      <c r="G435" s="2">
        <v>6</v>
      </c>
      <c r="H435" s="2">
        <v>309</v>
      </c>
      <c r="I435" s="2">
        <v>1854</v>
      </c>
      <c r="J435" s="2">
        <v>1600</v>
      </c>
      <c r="K435" s="2" t="s">
        <v>20</v>
      </c>
      <c r="L435" s="19">
        <f>SalesData!I435/SalesData!J435</f>
        <v>1.1587499999999999</v>
      </c>
    </row>
    <row r="436" spans="1:12" x14ac:dyDescent="0.25">
      <c r="A436" s="2">
        <v>1435</v>
      </c>
      <c r="B436" s="3">
        <v>45830</v>
      </c>
      <c r="C436" s="2" t="s">
        <v>25</v>
      </c>
      <c r="D436" s="2" t="s">
        <v>12</v>
      </c>
      <c r="E436" s="2" t="s">
        <v>21</v>
      </c>
      <c r="F436" s="2" t="s">
        <v>29</v>
      </c>
      <c r="G436" s="2">
        <v>3</v>
      </c>
      <c r="H436" s="2">
        <v>273</v>
      </c>
      <c r="I436" s="2">
        <v>819</v>
      </c>
      <c r="J436" s="2">
        <v>908</v>
      </c>
      <c r="K436" s="2" t="s">
        <v>15</v>
      </c>
      <c r="L436" s="19">
        <f>SalesData!I436/SalesData!J436</f>
        <v>0.90198237885462551</v>
      </c>
    </row>
    <row r="437" spans="1:12" x14ac:dyDescent="0.25">
      <c r="A437" s="2">
        <v>1436</v>
      </c>
      <c r="B437" s="3">
        <v>45677</v>
      </c>
      <c r="C437" s="2" t="s">
        <v>11</v>
      </c>
      <c r="D437" s="2" t="s">
        <v>12</v>
      </c>
      <c r="E437" s="2" t="s">
        <v>34</v>
      </c>
      <c r="F437" s="2" t="s">
        <v>31</v>
      </c>
      <c r="G437" s="2">
        <v>2</v>
      </c>
      <c r="H437" s="2">
        <v>82</v>
      </c>
      <c r="I437" s="2">
        <v>164</v>
      </c>
      <c r="J437" s="2">
        <v>212</v>
      </c>
      <c r="K437" s="2" t="s">
        <v>20</v>
      </c>
      <c r="L437" s="19">
        <f>SalesData!I437/SalesData!J437</f>
        <v>0.77358490566037741</v>
      </c>
    </row>
    <row r="438" spans="1:12" x14ac:dyDescent="0.25">
      <c r="A438" s="2">
        <v>1437</v>
      </c>
      <c r="B438" s="3">
        <v>45667</v>
      </c>
      <c r="C438" s="2" t="s">
        <v>16</v>
      </c>
      <c r="D438" s="2" t="s">
        <v>17</v>
      </c>
      <c r="E438" s="2" t="s">
        <v>30</v>
      </c>
      <c r="F438" s="2" t="s">
        <v>19</v>
      </c>
      <c r="G438" s="2">
        <v>4</v>
      </c>
      <c r="H438" s="2">
        <v>57</v>
      </c>
      <c r="I438" s="2">
        <v>228</v>
      </c>
      <c r="J438" s="2">
        <v>220</v>
      </c>
      <c r="K438" s="2" t="s">
        <v>20</v>
      </c>
      <c r="L438" s="19">
        <f>SalesData!I438/SalesData!J438</f>
        <v>1.0363636363636364</v>
      </c>
    </row>
    <row r="439" spans="1:12" x14ac:dyDescent="0.25">
      <c r="A439" s="2">
        <v>1438</v>
      </c>
      <c r="B439" s="3">
        <v>45990</v>
      </c>
      <c r="C439" s="2" t="s">
        <v>28</v>
      </c>
      <c r="D439" s="2" t="s">
        <v>12</v>
      </c>
      <c r="E439" s="2" t="s">
        <v>13</v>
      </c>
      <c r="F439" s="2" t="s">
        <v>29</v>
      </c>
      <c r="G439" s="2">
        <v>10</v>
      </c>
      <c r="H439" s="2">
        <v>98</v>
      </c>
      <c r="I439" s="2">
        <v>980</v>
      </c>
      <c r="J439" s="2">
        <v>862</v>
      </c>
      <c r="K439" s="2" t="s">
        <v>15</v>
      </c>
      <c r="L439" s="19">
        <f>SalesData!I439/SalesData!J439</f>
        <v>1.1368909512761021</v>
      </c>
    </row>
    <row r="440" spans="1:12" x14ac:dyDescent="0.25">
      <c r="A440" s="2">
        <v>1439</v>
      </c>
      <c r="B440" s="3">
        <v>45998</v>
      </c>
      <c r="C440" s="2" t="s">
        <v>28</v>
      </c>
      <c r="D440" s="2" t="s">
        <v>23</v>
      </c>
      <c r="E440" s="2" t="s">
        <v>35</v>
      </c>
      <c r="F440" s="2" t="s">
        <v>22</v>
      </c>
      <c r="G440" s="2">
        <v>10</v>
      </c>
      <c r="H440" s="2">
        <v>74</v>
      </c>
      <c r="I440" s="2">
        <v>740</v>
      </c>
      <c r="J440" s="2">
        <v>635</v>
      </c>
      <c r="K440" s="2" t="s">
        <v>20</v>
      </c>
      <c r="L440" s="19">
        <f>SalesData!I440/SalesData!J440</f>
        <v>1.1653543307086613</v>
      </c>
    </row>
    <row r="441" spans="1:12" x14ac:dyDescent="0.25">
      <c r="A441" s="2">
        <v>1440</v>
      </c>
      <c r="B441" s="3">
        <v>45710</v>
      </c>
      <c r="C441" s="2" t="s">
        <v>16</v>
      </c>
      <c r="D441" s="2" t="s">
        <v>17</v>
      </c>
      <c r="E441" s="2" t="s">
        <v>18</v>
      </c>
      <c r="F441" s="2" t="s">
        <v>19</v>
      </c>
      <c r="G441" s="2">
        <v>9</v>
      </c>
      <c r="H441" s="2">
        <v>28</v>
      </c>
      <c r="I441" s="2">
        <v>252</v>
      </c>
      <c r="J441" s="2">
        <v>277</v>
      </c>
      <c r="K441" s="2" t="s">
        <v>20</v>
      </c>
      <c r="L441" s="19">
        <f>SalesData!I441/SalesData!J441</f>
        <v>0.90974729241877261</v>
      </c>
    </row>
    <row r="442" spans="1:12" x14ac:dyDescent="0.25">
      <c r="A442" s="2">
        <v>1441</v>
      </c>
      <c r="B442" s="3">
        <v>45697</v>
      </c>
      <c r="C442" s="2" t="s">
        <v>28</v>
      </c>
      <c r="D442" s="2" t="s">
        <v>17</v>
      </c>
      <c r="E442" s="2" t="s">
        <v>27</v>
      </c>
      <c r="F442" s="2" t="s">
        <v>22</v>
      </c>
      <c r="G442" s="2">
        <v>10</v>
      </c>
      <c r="H442" s="2">
        <v>231</v>
      </c>
      <c r="I442" s="2">
        <v>2310</v>
      </c>
      <c r="J442" s="2">
        <v>2603</v>
      </c>
      <c r="K442" s="2" t="s">
        <v>20</v>
      </c>
      <c r="L442" s="19">
        <f>SalesData!I442/SalesData!J442</f>
        <v>0.88743757203227047</v>
      </c>
    </row>
    <row r="443" spans="1:12" x14ac:dyDescent="0.25">
      <c r="A443" s="2">
        <v>1442</v>
      </c>
      <c r="B443" s="3">
        <v>45955</v>
      </c>
      <c r="C443" s="2" t="s">
        <v>11</v>
      </c>
      <c r="D443" s="2" t="s">
        <v>23</v>
      </c>
      <c r="E443" s="2" t="s">
        <v>26</v>
      </c>
      <c r="F443" s="2" t="s">
        <v>31</v>
      </c>
      <c r="G443" s="2">
        <v>9</v>
      </c>
      <c r="H443" s="2">
        <v>302</v>
      </c>
      <c r="I443" s="2">
        <v>2718</v>
      </c>
      <c r="J443" s="2">
        <v>3110</v>
      </c>
      <c r="K443" s="2" t="s">
        <v>20</v>
      </c>
      <c r="L443" s="19">
        <f>SalesData!I443/SalesData!J443</f>
        <v>0.87395498392282955</v>
      </c>
    </row>
    <row r="444" spans="1:12" x14ac:dyDescent="0.25">
      <c r="A444" s="2">
        <v>1443</v>
      </c>
      <c r="B444" s="3">
        <v>45704</v>
      </c>
      <c r="C444" s="2" t="s">
        <v>25</v>
      </c>
      <c r="D444" s="2" t="s">
        <v>23</v>
      </c>
      <c r="E444" s="2" t="s">
        <v>35</v>
      </c>
      <c r="F444" s="2" t="s">
        <v>22</v>
      </c>
      <c r="G444" s="2">
        <v>1</v>
      </c>
      <c r="H444" s="2">
        <v>182</v>
      </c>
      <c r="I444" s="2">
        <v>182</v>
      </c>
      <c r="J444" s="2">
        <v>216</v>
      </c>
      <c r="K444" s="2" t="s">
        <v>15</v>
      </c>
      <c r="L444" s="19">
        <f>SalesData!I444/SalesData!J444</f>
        <v>0.84259259259259256</v>
      </c>
    </row>
    <row r="445" spans="1:12" x14ac:dyDescent="0.25">
      <c r="A445" s="2">
        <v>1444</v>
      </c>
      <c r="B445" s="3">
        <v>45833</v>
      </c>
      <c r="C445" s="2" t="s">
        <v>28</v>
      </c>
      <c r="D445" s="2" t="s">
        <v>23</v>
      </c>
      <c r="E445" s="2" t="s">
        <v>24</v>
      </c>
      <c r="F445" s="2" t="s">
        <v>22</v>
      </c>
      <c r="G445" s="2">
        <v>5</v>
      </c>
      <c r="H445" s="2">
        <v>358</v>
      </c>
      <c r="I445" s="2">
        <v>1790</v>
      </c>
      <c r="J445" s="2">
        <v>1714</v>
      </c>
      <c r="K445" s="2" t="s">
        <v>20</v>
      </c>
      <c r="L445" s="19">
        <f>SalesData!I445/SalesData!J445</f>
        <v>1.044340723453909</v>
      </c>
    </row>
    <row r="446" spans="1:12" x14ac:dyDescent="0.25">
      <c r="A446" s="2">
        <v>1445</v>
      </c>
      <c r="B446" s="3">
        <v>45773</v>
      </c>
      <c r="C446" s="2" t="s">
        <v>11</v>
      </c>
      <c r="D446" s="2" t="s">
        <v>12</v>
      </c>
      <c r="E446" s="2" t="s">
        <v>33</v>
      </c>
      <c r="F446" s="2" t="s">
        <v>14</v>
      </c>
      <c r="G446" s="2">
        <v>3</v>
      </c>
      <c r="H446" s="2">
        <v>203</v>
      </c>
      <c r="I446" s="2">
        <v>609</v>
      </c>
      <c r="J446" s="2">
        <v>523</v>
      </c>
      <c r="K446" s="2" t="s">
        <v>15</v>
      </c>
      <c r="L446" s="19">
        <f>SalesData!I446/SalesData!J446</f>
        <v>1.1644359464627152</v>
      </c>
    </row>
    <row r="447" spans="1:12" x14ac:dyDescent="0.25">
      <c r="A447" s="2">
        <v>1446</v>
      </c>
      <c r="B447" s="3">
        <v>45691</v>
      </c>
      <c r="C447" s="2" t="s">
        <v>28</v>
      </c>
      <c r="D447" s="2" t="s">
        <v>12</v>
      </c>
      <c r="E447" s="2" t="s">
        <v>13</v>
      </c>
      <c r="F447" s="2" t="s">
        <v>32</v>
      </c>
      <c r="G447" s="2">
        <v>8</v>
      </c>
      <c r="H447" s="2">
        <v>97</v>
      </c>
      <c r="I447" s="2">
        <v>776</v>
      </c>
      <c r="J447" s="2">
        <v>899</v>
      </c>
      <c r="K447" s="2" t="s">
        <v>20</v>
      </c>
      <c r="L447" s="19">
        <f>SalesData!I447/SalesData!J447</f>
        <v>0.86318131256952169</v>
      </c>
    </row>
    <row r="448" spans="1:12" x14ac:dyDescent="0.25">
      <c r="A448" s="2">
        <v>1447</v>
      </c>
      <c r="B448" s="3">
        <v>45906</v>
      </c>
      <c r="C448" s="2" t="s">
        <v>28</v>
      </c>
      <c r="D448" s="2" t="s">
        <v>23</v>
      </c>
      <c r="E448" s="2" t="s">
        <v>26</v>
      </c>
      <c r="F448" s="2" t="s">
        <v>31</v>
      </c>
      <c r="G448" s="2">
        <v>6</v>
      </c>
      <c r="H448" s="2">
        <v>472</v>
      </c>
      <c r="I448" s="2">
        <v>2832</v>
      </c>
      <c r="J448" s="2">
        <v>3356</v>
      </c>
      <c r="K448" s="2" t="s">
        <v>15</v>
      </c>
      <c r="L448" s="19">
        <f>SalesData!I448/SalesData!J448</f>
        <v>0.84386174016686533</v>
      </c>
    </row>
    <row r="449" spans="1:12" x14ac:dyDescent="0.25">
      <c r="A449" s="2">
        <v>1448</v>
      </c>
      <c r="B449" s="3">
        <v>45908</v>
      </c>
      <c r="C449" s="2" t="s">
        <v>28</v>
      </c>
      <c r="D449" s="2" t="s">
        <v>23</v>
      </c>
      <c r="E449" s="2" t="s">
        <v>24</v>
      </c>
      <c r="F449" s="2" t="s">
        <v>14</v>
      </c>
      <c r="G449" s="2">
        <v>2</v>
      </c>
      <c r="H449" s="2">
        <v>194</v>
      </c>
      <c r="I449" s="2">
        <v>388</v>
      </c>
      <c r="J449" s="2">
        <v>383</v>
      </c>
      <c r="K449" s="2" t="s">
        <v>15</v>
      </c>
      <c r="L449" s="19">
        <f>SalesData!I449/SalesData!J449</f>
        <v>1.0130548302872062</v>
      </c>
    </row>
    <row r="450" spans="1:12" x14ac:dyDescent="0.25">
      <c r="A450" s="2">
        <v>1449</v>
      </c>
      <c r="B450" s="3">
        <v>45741</v>
      </c>
      <c r="C450" s="2" t="s">
        <v>25</v>
      </c>
      <c r="D450" s="2" t="s">
        <v>17</v>
      </c>
      <c r="E450" s="2" t="s">
        <v>18</v>
      </c>
      <c r="F450" s="2" t="s">
        <v>19</v>
      </c>
      <c r="G450" s="2">
        <v>5</v>
      </c>
      <c r="H450" s="2">
        <v>450</v>
      </c>
      <c r="I450" s="2">
        <v>2250</v>
      </c>
      <c r="J450" s="2">
        <v>2040</v>
      </c>
      <c r="K450" s="2" t="s">
        <v>15</v>
      </c>
      <c r="L450" s="19">
        <f>SalesData!I450/SalesData!J450</f>
        <v>1.1029411764705883</v>
      </c>
    </row>
    <row r="451" spans="1:12" x14ac:dyDescent="0.25">
      <c r="A451" s="2">
        <v>1450</v>
      </c>
      <c r="B451" s="3">
        <v>45790</v>
      </c>
      <c r="C451" s="2" t="s">
        <v>25</v>
      </c>
      <c r="D451" s="2" t="s">
        <v>17</v>
      </c>
      <c r="E451" s="2" t="s">
        <v>30</v>
      </c>
      <c r="F451" s="2" t="s">
        <v>19</v>
      </c>
      <c r="G451" s="2">
        <v>4</v>
      </c>
      <c r="H451" s="2">
        <v>232</v>
      </c>
      <c r="I451" s="2">
        <v>928</v>
      </c>
      <c r="J451" s="2">
        <v>1030</v>
      </c>
      <c r="K451" s="2" t="s">
        <v>15</v>
      </c>
      <c r="L451" s="19">
        <f>SalesData!I451/SalesData!J451</f>
        <v>0.90097087378640772</v>
      </c>
    </row>
    <row r="452" spans="1:12" x14ac:dyDescent="0.25">
      <c r="A452" s="2">
        <v>1451</v>
      </c>
      <c r="B452" s="3">
        <v>45721</v>
      </c>
      <c r="C452" s="2" t="s">
        <v>28</v>
      </c>
      <c r="D452" s="2" t="s">
        <v>23</v>
      </c>
      <c r="E452" s="2" t="s">
        <v>26</v>
      </c>
      <c r="F452" s="2" t="s">
        <v>14</v>
      </c>
      <c r="G452" s="2">
        <v>3</v>
      </c>
      <c r="H452" s="2">
        <v>24</v>
      </c>
      <c r="I452" s="2">
        <v>72</v>
      </c>
      <c r="J452" s="2">
        <v>67</v>
      </c>
      <c r="K452" s="2" t="s">
        <v>15</v>
      </c>
      <c r="L452" s="19">
        <f>SalesData!I452/SalesData!J452</f>
        <v>1.0746268656716418</v>
      </c>
    </row>
    <row r="453" spans="1:12" x14ac:dyDescent="0.25">
      <c r="A453" s="2">
        <v>1452</v>
      </c>
      <c r="B453" s="3">
        <v>45891</v>
      </c>
      <c r="C453" s="2" t="s">
        <v>11</v>
      </c>
      <c r="D453" s="2" t="s">
        <v>23</v>
      </c>
      <c r="E453" s="2" t="s">
        <v>35</v>
      </c>
      <c r="F453" s="2" t="s">
        <v>19</v>
      </c>
      <c r="G453" s="2">
        <v>10</v>
      </c>
      <c r="H453" s="2">
        <v>472</v>
      </c>
      <c r="I453" s="2">
        <v>4720</v>
      </c>
      <c r="J453" s="2">
        <v>5473</v>
      </c>
      <c r="K453" s="2" t="s">
        <v>20</v>
      </c>
      <c r="L453" s="19">
        <f>SalesData!I453/SalesData!J453</f>
        <v>0.86241549424447284</v>
      </c>
    </row>
    <row r="454" spans="1:12" x14ac:dyDescent="0.25">
      <c r="A454" s="2">
        <v>1453</v>
      </c>
      <c r="B454" s="3">
        <v>45921</v>
      </c>
      <c r="C454" s="2" t="s">
        <v>25</v>
      </c>
      <c r="D454" s="2" t="s">
        <v>23</v>
      </c>
      <c r="E454" s="2" t="s">
        <v>24</v>
      </c>
      <c r="F454" s="2" t="s">
        <v>31</v>
      </c>
      <c r="G454" s="2">
        <v>6</v>
      </c>
      <c r="H454" s="2">
        <v>189</v>
      </c>
      <c r="I454" s="2">
        <v>1134</v>
      </c>
      <c r="J454" s="2">
        <v>935</v>
      </c>
      <c r="K454" s="2" t="s">
        <v>20</v>
      </c>
      <c r="L454" s="19">
        <f>SalesData!I454/SalesData!J454</f>
        <v>1.2128342245989305</v>
      </c>
    </row>
    <row r="455" spans="1:12" x14ac:dyDescent="0.25">
      <c r="A455" s="2">
        <v>1454</v>
      </c>
      <c r="B455" s="3">
        <v>45829</v>
      </c>
      <c r="C455" s="2" t="s">
        <v>25</v>
      </c>
      <c r="D455" s="2" t="s">
        <v>23</v>
      </c>
      <c r="E455" s="2" t="s">
        <v>24</v>
      </c>
      <c r="F455" s="2" t="s">
        <v>32</v>
      </c>
      <c r="G455" s="2">
        <v>3</v>
      </c>
      <c r="H455" s="2">
        <v>135</v>
      </c>
      <c r="I455" s="2">
        <v>405</v>
      </c>
      <c r="J455" s="2">
        <v>325</v>
      </c>
      <c r="K455" s="2" t="s">
        <v>20</v>
      </c>
      <c r="L455" s="19">
        <f>SalesData!I455/SalesData!J455</f>
        <v>1.2461538461538462</v>
      </c>
    </row>
    <row r="456" spans="1:12" x14ac:dyDescent="0.25">
      <c r="A456" s="2">
        <v>1455</v>
      </c>
      <c r="B456" s="3">
        <v>45822</v>
      </c>
      <c r="C456" s="2" t="s">
        <v>11</v>
      </c>
      <c r="D456" s="2" t="s">
        <v>23</v>
      </c>
      <c r="E456" s="2" t="s">
        <v>24</v>
      </c>
      <c r="F456" s="2" t="s">
        <v>14</v>
      </c>
      <c r="G456" s="2">
        <v>2</v>
      </c>
      <c r="H456" s="2">
        <v>143</v>
      </c>
      <c r="I456" s="2">
        <v>286</v>
      </c>
      <c r="J456" s="2">
        <v>348</v>
      </c>
      <c r="K456" s="2" t="s">
        <v>15</v>
      </c>
      <c r="L456" s="19">
        <f>SalesData!I456/SalesData!J456</f>
        <v>0.82183908045977017</v>
      </c>
    </row>
    <row r="457" spans="1:12" x14ac:dyDescent="0.25">
      <c r="A457" s="2">
        <v>1456</v>
      </c>
      <c r="B457" s="3">
        <v>45721</v>
      </c>
      <c r="C457" s="2" t="s">
        <v>11</v>
      </c>
      <c r="D457" s="2" t="s">
        <v>23</v>
      </c>
      <c r="E457" s="2" t="s">
        <v>26</v>
      </c>
      <c r="F457" s="2" t="s">
        <v>29</v>
      </c>
      <c r="G457" s="2">
        <v>3</v>
      </c>
      <c r="H457" s="2">
        <v>470</v>
      </c>
      <c r="I457" s="2">
        <v>1410</v>
      </c>
      <c r="J457" s="2">
        <v>1435</v>
      </c>
      <c r="K457" s="2" t="s">
        <v>20</v>
      </c>
      <c r="L457" s="19">
        <f>SalesData!I457/SalesData!J457</f>
        <v>0.98257839721254359</v>
      </c>
    </row>
    <row r="458" spans="1:12" x14ac:dyDescent="0.25">
      <c r="A458" s="2">
        <v>1457</v>
      </c>
      <c r="B458" s="3">
        <v>45800</v>
      </c>
      <c r="C458" s="2" t="s">
        <v>25</v>
      </c>
      <c r="D458" s="2" t="s">
        <v>17</v>
      </c>
      <c r="E458" s="2" t="s">
        <v>27</v>
      </c>
      <c r="F458" s="2" t="s">
        <v>14</v>
      </c>
      <c r="G458" s="2">
        <v>2</v>
      </c>
      <c r="H458" s="2">
        <v>453</v>
      </c>
      <c r="I458" s="2">
        <v>906</v>
      </c>
      <c r="J458" s="2">
        <v>751</v>
      </c>
      <c r="K458" s="2" t="s">
        <v>20</v>
      </c>
      <c r="L458" s="19">
        <f>SalesData!I458/SalesData!J458</f>
        <v>1.2063914780292944</v>
      </c>
    </row>
    <row r="459" spans="1:12" x14ac:dyDescent="0.25">
      <c r="A459" s="2">
        <v>1458</v>
      </c>
      <c r="B459" s="3">
        <v>45746</v>
      </c>
      <c r="C459" s="2" t="s">
        <v>16</v>
      </c>
      <c r="D459" s="2" t="s">
        <v>17</v>
      </c>
      <c r="E459" s="2" t="s">
        <v>18</v>
      </c>
      <c r="F459" s="2" t="s">
        <v>29</v>
      </c>
      <c r="G459" s="2">
        <v>8</v>
      </c>
      <c r="H459" s="2">
        <v>456</v>
      </c>
      <c r="I459" s="2">
        <v>3648</v>
      </c>
      <c r="J459" s="2">
        <v>3537</v>
      </c>
      <c r="K459" s="2" t="s">
        <v>15</v>
      </c>
      <c r="L459" s="19">
        <f>SalesData!I459/SalesData!J459</f>
        <v>1.0313825275657336</v>
      </c>
    </row>
    <row r="460" spans="1:12" x14ac:dyDescent="0.25">
      <c r="A460" s="2">
        <v>1459</v>
      </c>
      <c r="B460" s="3">
        <v>45939</v>
      </c>
      <c r="C460" s="2" t="s">
        <v>25</v>
      </c>
      <c r="D460" s="2" t="s">
        <v>12</v>
      </c>
      <c r="E460" s="2" t="s">
        <v>13</v>
      </c>
      <c r="F460" s="2" t="s">
        <v>22</v>
      </c>
      <c r="G460" s="2">
        <v>4</v>
      </c>
      <c r="H460" s="2">
        <v>137</v>
      </c>
      <c r="I460" s="2">
        <v>548</v>
      </c>
      <c r="J460" s="2">
        <v>704</v>
      </c>
      <c r="K460" s="2" t="s">
        <v>15</v>
      </c>
      <c r="L460" s="19">
        <f>SalesData!I460/SalesData!J460</f>
        <v>0.77840909090909094</v>
      </c>
    </row>
    <row r="461" spans="1:12" x14ac:dyDescent="0.25">
      <c r="A461" s="2">
        <v>1460</v>
      </c>
      <c r="B461" s="3">
        <v>45920</v>
      </c>
      <c r="C461" s="2" t="s">
        <v>25</v>
      </c>
      <c r="D461" s="2" t="s">
        <v>12</v>
      </c>
      <c r="E461" s="2" t="s">
        <v>21</v>
      </c>
      <c r="F461" s="2" t="s">
        <v>32</v>
      </c>
      <c r="G461" s="2">
        <v>5</v>
      </c>
      <c r="H461" s="2">
        <v>228</v>
      </c>
      <c r="I461" s="2">
        <v>1140</v>
      </c>
      <c r="J461" s="2">
        <v>1175</v>
      </c>
      <c r="K461" s="2" t="s">
        <v>20</v>
      </c>
      <c r="L461" s="19">
        <f>SalesData!I461/SalesData!J461</f>
        <v>0.97021276595744677</v>
      </c>
    </row>
    <row r="462" spans="1:12" x14ac:dyDescent="0.25">
      <c r="A462" s="2">
        <v>1461</v>
      </c>
      <c r="B462" s="3">
        <v>45665</v>
      </c>
      <c r="C462" s="2" t="s">
        <v>28</v>
      </c>
      <c r="D462" s="2" t="s">
        <v>23</v>
      </c>
      <c r="E462" s="2" t="s">
        <v>26</v>
      </c>
      <c r="F462" s="2" t="s">
        <v>19</v>
      </c>
      <c r="G462" s="2">
        <v>7</v>
      </c>
      <c r="H462" s="2">
        <v>203</v>
      </c>
      <c r="I462" s="2">
        <v>1421</v>
      </c>
      <c r="J462" s="2">
        <v>1731</v>
      </c>
      <c r="K462" s="2" t="s">
        <v>20</v>
      </c>
      <c r="L462" s="19">
        <f>SalesData!I462/SalesData!J462</f>
        <v>0.82091276718659734</v>
      </c>
    </row>
    <row r="463" spans="1:12" x14ac:dyDescent="0.25">
      <c r="A463" s="2">
        <v>1462</v>
      </c>
      <c r="B463" s="3">
        <v>45698</v>
      </c>
      <c r="C463" s="2" t="s">
        <v>16</v>
      </c>
      <c r="D463" s="2" t="s">
        <v>12</v>
      </c>
      <c r="E463" s="2" t="s">
        <v>33</v>
      </c>
      <c r="F463" s="2" t="s">
        <v>22</v>
      </c>
      <c r="G463" s="2">
        <v>2</v>
      </c>
      <c r="H463" s="2">
        <v>467</v>
      </c>
      <c r="I463" s="2">
        <v>934</v>
      </c>
      <c r="J463" s="2">
        <v>956</v>
      </c>
      <c r="K463" s="2" t="s">
        <v>15</v>
      </c>
      <c r="L463" s="19">
        <f>SalesData!I463/SalesData!J463</f>
        <v>0.97698744769874479</v>
      </c>
    </row>
    <row r="464" spans="1:12" x14ac:dyDescent="0.25">
      <c r="A464" s="2">
        <v>1463</v>
      </c>
      <c r="B464" s="3">
        <v>45975</v>
      </c>
      <c r="C464" s="2" t="s">
        <v>16</v>
      </c>
      <c r="D464" s="2" t="s">
        <v>23</v>
      </c>
      <c r="E464" s="2" t="s">
        <v>35</v>
      </c>
      <c r="F464" s="2" t="s">
        <v>19</v>
      </c>
      <c r="G464" s="2">
        <v>6</v>
      </c>
      <c r="H464" s="2">
        <v>80</v>
      </c>
      <c r="I464" s="2">
        <v>480</v>
      </c>
      <c r="J464" s="2">
        <v>612</v>
      </c>
      <c r="K464" s="2" t="s">
        <v>20</v>
      </c>
      <c r="L464" s="19">
        <f>SalesData!I464/SalesData!J464</f>
        <v>0.78431372549019607</v>
      </c>
    </row>
    <row r="465" spans="1:12" x14ac:dyDescent="0.25">
      <c r="A465" s="2">
        <v>1464</v>
      </c>
      <c r="B465" s="3">
        <v>45700</v>
      </c>
      <c r="C465" s="2" t="s">
        <v>16</v>
      </c>
      <c r="D465" s="2" t="s">
        <v>23</v>
      </c>
      <c r="E465" s="2" t="s">
        <v>26</v>
      </c>
      <c r="F465" s="2" t="s">
        <v>31</v>
      </c>
      <c r="G465" s="2">
        <v>6</v>
      </c>
      <c r="H465" s="2">
        <v>412</v>
      </c>
      <c r="I465" s="2">
        <v>2472</v>
      </c>
      <c r="J465" s="2">
        <v>2832</v>
      </c>
      <c r="K465" s="2" t="s">
        <v>20</v>
      </c>
      <c r="L465" s="19">
        <f>SalesData!I465/SalesData!J465</f>
        <v>0.8728813559322034</v>
      </c>
    </row>
    <row r="466" spans="1:12" x14ac:dyDescent="0.25">
      <c r="A466" s="2">
        <v>1465</v>
      </c>
      <c r="B466" s="3">
        <v>45849</v>
      </c>
      <c r="C466" s="2" t="s">
        <v>28</v>
      </c>
      <c r="D466" s="2" t="s">
        <v>12</v>
      </c>
      <c r="E466" s="2" t="s">
        <v>33</v>
      </c>
      <c r="F466" s="2" t="s">
        <v>29</v>
      </c>
      <c r="G466" s="2">
        <v>8</v>
      </c>
      <c r="H466" s="2">
        <v>17</v>
      </c>
      <c r="I466" s="2">
        <v>136</v>
      </c>
      <c r="J466" s="2">
        <v>121</v>
      </c>
      <c r="K466" s="2" t="s">
        <v>20</v>
      </c>
      <c r="L466" s="19">
        <f>SalesData!I466/SalesData!J466</f>
        <v>1.1239669421487604</v>
      </c>
    </row>
    <row r="467" spans="1:12" x14ac:dyDescent="0.25">
      <c r="A467" s="2">
        <v>1466</v>
      </c>
      <c r="B467" s="3">
        <v>45760</v>
      </c>
      <c r="C467" s="2" t="s">
        <v>11</v>
      </c>
      <c r="D467" s="2" t="s">
        <v>17</v>
      </c>
      <c r="E467" s="2" t="s">
        <v>30</v>
      </c>
      <c r="F467" s="2" t="s">
        <v>14</v>
      </c>
      <c r="G467" s="2">
        <v>6</v>
      </c>
      <c r="H467" s="2">
        <v>457</v>
      </c>
      <c r="I467" s="2">
        <v>2742</v>
      </c>
      <c r="J467" s="2">
        <v>2929</v>
      </c>
      <c r="K467" s="2" t="s">
        <v>15</v>
      </c>
      <c r="L467" s="19">
        <f>SalesData!I467/SalesData!J467</f>
        <v>0.93615568453397069</v>
      </c>
    </row>
    <row r="468" spans="1:12" x14ac:dyDescent="0.25">
      <c r="A468" s="2">
        <v>1467</v>
      </c>
      <c r="B468" s="3">
        <v>45790</v>
      </c>
      <c r="C468" s="2" t="s">
        <v>11</v>
      </c>
      <c r="D468" s="2" t="s">
        <v>12</v>
      </c>
      <c r="E468" s="2" t="s">
        <v>13</v>
      </c>
      <c r="F468" s="2" t="s">
        <v>19</v>
      </c>
      <c r="G468" s="2">
        <v>1</v>
      </c>
      <c r="H468" s="2">
        <v>365</v>
      </c>
      <c r="I468" s="2">
        <v>365</v>
      </c>
      <c r="J468" s="2">
        <v>330</v>
      </c>
      <c r="K468" s="2" t="s">
        <v>20</v>
      </c>
      <c r="L468" s="19">
        <f>SalesData!I468/SalesData!J468</f>
        <v>1.106060606060606</v>
      </c>
    </row>
    <row r="469" spans="1:12" x14ac:dyDescent="0.25">
      <c r="A469" s="2">
        <v>1468</v>
      </c>
      <c r="B469" s="3">
        <v>45704</v>
      </c>
      <c r="C469" s="2" t="s">
        <v>28</v>
      </c>
      <c r="D469" s="2" t="s">
        <v>17</v>
      </c>
      <c r="E469" s="2" t="s">
        <v>18</v>
      </c>
      <c r="F469" s="2" t="s">
        <v>14</v>
      </c>
      <c r="G469" s="2">
        <v>8</v>
      </c>
      <c r="H469" s="2">
        <v>93</v>
      </c>
      <c r="I469" s="2">
        <v>744</v>
      </c>
      <c r="J469" s="2">
        <v>925</v>
      </c>
      <c r="K469" s="2" t="s">
        <v>15</v>
      </c>
      <c r="L469" s="19">
        <f>SalesData!I469/SalesData!J469</f>
        <v>0.80432432432432432</v>
      </c>
    </row>
    <row r="470" spans="1:12" x14ac:dyDescent="0.25">
      <c r="A470" s="2">
        <v>1469</v>
      </c>
      <c r="B470" s="3">
        <v>45865</v>
      </c>
      <c r="C470" s="2" t="s">
        <v>28</v>
      </c>
      <c r="D470" s="2" t="s">
        <v>23</v>
      </c>
      <c r="E470" s="2" t="s">
        <v>35</v>
      </c>
      <c r="F470" s="2" t="s">
        <v>29</v>
      </c>
      <c r="G470" s="2">
        <v>5</v>
      </c>
      <c r="H470" s="2">
        <v>482</v>
      </c>
      <c r="I470" s="2">
        <v>2410</v>
      </c>
      <c r="J470" s="2">
        <v>2728</v>
      </c>
      <c r="K470" s="2" t="s">
        <v>15</v>
      </c>
      <c r="L470" s="19">
        <f>SalesData!I470/SalesData!J470</f>
        <v>0.88343108504398826</v>
      </c>
    </row>
    <row r="471" spans="1:12" x14ac:dyDescent="0.25">
      <c r="A471" s="2">
        <v>1470</v>
      </c>
      <c r="B471" s="3">
        <v>46013</v>
      </c>
      <c r="C471" s="2" t="s">
        <v>25</v>
      </c>
      <c r="D471" s="2" t="s">
        <v>12</v>
      </c>
      <c r="E471" s="2" t="s">
        <v>21</v>
      </c>
      <c r="F471" s="2" t="s">
        <v>22</v>
      </c>
      <c r="G471" s="2">
        <v>3</v>
      </c>
      <c r="H471" s="2">
        <v>348</v>
      </c>
      <c r="I471" s="2">
        <v>1044</v>
      </c>
      <c r="J471" s="2">
        <v>1287</v>
      </c>
      <c r="K471" s="2" t="s">
        <v>20</v>
      </c>
      <c r="L471" s="19">
        <f>SalesData!I471/SalesData!J471</f>
        <v>0.81118881118881114</v>
      </c>
    </row>
    <row r="472" spans="1:12" x14ac:dyDescent="0.25">
      <c r="A472" s="2">
        <v>1471</v>
      </c>
      <c r="B472" s="3">
        <v>45907</v>
      </c>
      <c r="C472" s="2" t="s">
        <v>11</v>
      </c>
      <c r="D472" s="2" t="s">
        <v>17</v>
      </c>
      <c r="E472" s="2" t="s">
        <v>18</v>
      </c>
      <c r="F472" s="2" t="s">
        <v>29</v>
      </c>
      <c r="G472" s="2">
        <v>9</v>
      </c>
      <c r="H472" s="2">
        <v>417</v>
      </c>
      <c r="I472" s="2">
        <v>3753</v>
      </c>
      <c r="J472" s="2">
        <v>3380</v>
      </c>
      <c r="K472" s="2" t="s">
        <v>20</v>
      </c>
      <c r="L472" s="19">
        <f>SalesData!I472/SalesData!J472</f>
        <v>1.1103550295857989</v>
      </c>
    </row>
    <row r="473" spans="1:12" x14ac:dyDescent="0.25">
      <c r="A473" s="2">
        <v>1472</v>
      </c>
      <c r="B473" s="3">
        <v>45697</v>
      </c>
      <c r="C473" s="2" t="s">
        <v>25</v>
      </c>
      <c r="D473" s="2" t="s">
        <v>23</v>
      </c>
      <c r="E473" s="2" t="s">
        <v>26</v>
      </c>
      <c r="F473" s="2" t="s">
        <v>19</v>
      </c>
      <c r="G473" s="2">
        <v>9</v>
      </c>
      <c r="H473" s="2">
        <v>430</v>
      </c>
      <c r="I473" s="2">
        <v>3870</v>
      </c>
      <c r="J473" s="2">
        <v>4894</v>
      </c>
      <c r="K473" s="2" t="s">
        <v>15</v>
      </c>
      <c r="L473" s="19">
        <f>SalesData!I473/SalesData!J473</f>
        <v>0.79076420106252554</v>
      </c>
    </row>
    <row r="474" spans="1:12" x14ac:dyDescent="0.25">
      <c r="A474" s="2">
        <v>1473</v>
      </c>
      <c r="B474" s="3">
        <v>45658</v>
      </c>
      <c r="C474" s="2" t="s">
        <v>28</v>
      </c>
      <c r="D474" s="2" t="s">
        <v>23</v>
      </c>
      <c r="E474" s="2" t="s">
        <v>35</v>
      </c>
      <c r="F474" s="2" t="s">
        <v>31</v>
      </c>
      <c r="G474" s="2">
        <v>10</v>
      </c>
      <c r="H474" s="2">
        <v>185</v>
      </c>
      <c r="I474" s="2">
        <v>1850</v>
      </c>
      <c r="J474" s="2">
        <v>2145</v>
      </c>
      <c r="K474" s="2" t="s">
        <v>20</v>
      </c>
      <c r="L474" s="19">
        <f>SalesData!I474/SalesData!J474</f>
        <v>0.86247086247086246</v>
      </c>
    </row>
    <row r="475" spans="1:12" x14ac:dyDescent="0.25">
      <c r="A475" s="2">
        <v>1474</v>
      </c>
      <c r="B475" s="3">
        <v>45722</v>
      </c>
      <c r="C475" s="2" t="s">
        <v>28</v>
      </c>
      <c r="D475" s="2" t="s">
        <v>17</v>
      </c>
      <c r="E475" s="2" t="s">
        <v>30</v>
      </c>
      <c r="F475" s="2" t="s">
        <v>14</v>
      </c>
      <c r="G475" s="2">
        <v>5</v>
      </c>
      <c r="H475" s="2">
        <v>388</v>
      </c>
      <c r="I475" s="2">
        <v>1940</v>
      </c>
      <c r="J475" s="2">
        <v>2313</v>
      </c>
      <c r="K475" s="2" t="s">
        <v>15</v>
      </c>
      <c r="L475" s="19">
        <f>SalesData!I475/SalesData!J475</f>
        <v>0.83873757025508</v>
      </c>
    </row>
    <row r="476" spans="1:12" x14ac:dyDescent="0.25">
      <c r="A476" s="2">
        <v>1475</v>
      </c>
      <c r="B476" s="3">
        <v>45872</v>
      </c>
      <c r="C476" s="2" t="s">
        <v>25</v>
      </c>
      <c r="D476" s="2" t="s">
        <v>17</v>
      </c>
      <c r="E476" s="2" t="s">
        <v>27</v>
      </c>
      <c r="F476" s="2" t="s">
        <v>19</v>
      </c>
      <c r="G476" s="2">
        <v>9</v>
      </c>
      <c r="H476" s="2">
        <v>140</v>
      </c>
      <c r="I476" s="2">
        <v>1260</v>
      </c>
      <c r="J476" s="2">
        <v>1472</v>
      </c>
      <c r="K476" s="2" t="s">
        <v>15</v>
      </c>
      <c r="L476" s="19">
        <f>SalesData!I476/SalesData!J476</f>
        <v>0.85597826086956519</v>
      </c>
    </row>
    <row r="477" spans="1:12" x14ac:dyDescent="0.25">
      <c r="A477" s="2">
        <v>1476</v>
      </c>
      <c r="B477" s="3">
        <v>45790</v>
      </c>
      <c r="C477" s="2" t="s">
        <v>28</v>
      </c>
      <c r="D477" s="2" t="s">
        <v>23</v>
      </c>
      <c r="E477" s="2" t="s">
        <v>24</v>
      </c>
      <c r="F477" s="2" t="s">
        <v>14</v>
      </c>
      <c r="G477" s="2">
        <v>7</v>
      </c>
      <c r="H477" s="2">
        <v>435</v>
      </c>
      <c r="I477" s="2">
        <v>3045</v>
      </c>
      <c r="J477" s="2">
        <v>2957</v>
      </c>
      <c r="K477" s="2" t="s">
        <v>20</v>
      </c>
      <c r="L477" s="19">
        <f>SalesData!I477/SalesData!J477</f>
        <v>1.0297598917822117</v>
      </c>
    </row>
    <row r="478" spans="1:12" x14ac:dyDescent="0.25">
      <c r="A478" s="2">
        <v>1477</v>
      </c>
      <c r="B478" s="3">
        <v>46018</v>
      </c>
      <c r="C478" s="2" t="s">
        <v>25</v>
      </c>
      <c r="D478" s="2" t="s">
        <v>23</v>
      </c>
      <c r="E478" s="2" t="s">
        <v>26</v>
      </c>
      <c r="F478" s="2" t="s">
        <v>19</v>
      </c>
      <c r="G478" s="2">
        <v>7</v>
      </c>
      <c r="H478" s="2">
        <v>414</v>
      </c>
      <c r="I478" s="2">
        <v>2898</v>
      </c>
      <c r="J478" s="2">
        <v>3201</v>
      </c>
      <c r="K478" s="2" t="s">
        <v>20</v>
      </c>
      <c r="L478" s="19">
        <f>SalesData!I478/SalesData!J478</f>
        <v>0.90534208059981258</v>
      </c>
    </row>
    <row r="479" spans="1:12" x14ac:dyDescent="0.25">
      <c r="A479" s="2">
        <v>1478</v>
      </c>
      <c r="B479" s="3">
        <v>45739</v>
      </c>
      <c r="C479" s="2" t="s">
        <v>11</v>
      </c>
      <c r="D479" s="2" t="s">
        <v>23</v>
      </c>
      <c r="E479" s="2" t="s">
        <v>24</v>
      </c>
      <c r="F479" s="2" t="s">
        <v>29</v>
      </c>
      <c r="G479" s="2">
        <v>9</v>
      </c>
      <c r="H479" s="2">
        <v>41</v>
      </c>
      <c r="I479" s="2">
        <v>369</v>
      </c>
      <c r="J479" s="2">
        <v>470</v>
      </c>
      <c r="K479" s="2" t="s">
        <v>20</v>
      </c>
      <c r="L479" s="19">
        <f>SalesData!I479/SalesData!J479</f>
        <v>0.78510638297872337</v>
      </c>
    </row>
    <row r="480" spans="1:12" x14ac:dyDescent="0.25">
      <c r="A480" s="2">
        <v>1479</v>
      </c>
      <c r="B480" s="3">
        <v>45752</v>
      </c>
      <c r="C480" s="2" t="s">
        <v>11</v>
      </c>
      <c r="D480" s="2" t="s">
        <v>23</v>
      </c>
      <c r="E480" s="2" t="s">
        <v>26</v>
      </c>
      <c r="F480" s="2" t="s">
        <v>22</v>
      </c>
      <c r="G480" s="2">
        <v>10</v>
      </c>
      <c r="H480" s="2">
        <v>70</v>
      </c>
      <c r="I480" s="2">
        <v>700</v>
      </c>
      <c r="J480" s="2">
        <v>640</v>
      </c>
      <c r="K480" s="2" t="s">
        <v>15</v>
      </c>
      <c r="L480" s="19">
        <f>SalesData!I480/SalesData!J480</f>
        <v>1.09375</v>
      </c>
    </row>
    <row r="481" spans="1:12" x14ac:dyDescent="0.25">
      <c r="A481" s="2">
        <v>1480</v>
      </c>
      <c r="B481" s="3">
        <v>45661</v>
      </c>
      <c r="C481" s="2" t="s">
        <v>28</v>
      </c>
      <c r="D481" s="2" t="s">
        <v>12</v>
      </c>
      <c r="E481" s="2" t="s">
        <v>33</v>
      </c>
      <c r="F481" s="2" t="s">
        <v>14</v>
      </c>
      <c r="G481" s="2">
        <v>2</v>
      </c>
      <c r="H481" s="2">
        <v>27</v>
      </c>
      <c r="I481" s="2">
        <v>54</v>
      </c>
      <c r="J481" s="2">
        <v>63</v>
      </c>
      <c r="K481" s="2" t="s">
        <v>15</v>
      </c>
      <c r="L481" s="19">
        <f>SalesData!I481/SalesData!J481</f>
        <v>0.8571428571428571</v>
      </c>
    </row>
    <row r="482" spans="1:12" x14ac:dyDescent="0.25">
      <c r="A482" s="2">
        <v>1481</v>
      </c>
      <c r="B482" s="3">
        <v>45691</v>
      </c>
      <c r="C482" s="2" t="s">
        <v>28</v>
      </c>
      <c r="D482" s="2" t="s">
        <v>17</v>
      </c>
      <c r="E482" s="2" t="s">
        <v>30</v>
      </c>
      <c r="F482" s="2" t="s">
        <v>29</v>
      </c>
      <c r="G482" s="2">
        <v>7</v>
      </c>
      <c r="H482" s="2">
        <v>460</v>
      </c>
      <c r="I482" s="2">
        <v>3220</v>
      </c>
      <c r="J482" s="2">
        <v>2978</v>
      </c>
      <c r="K482" s="2" t="s">
        <v>15</v>
      </c>
      <c r="L482" s="19">
        <f>SalesData!I482/SalesData!J482</f>
        <v>1.081262592343855</v>
      </c>
    </row>
    <row r="483" spans="1:12" x14ac:dyDescent="0.25">
      <c r="A483" s="2">
        <v>1482</v>
      </c>
      <c r="B483" s="3">
        <v>45912</v>
      </c>
      <c r="C483" s="2" t="s">
        <v>11</v>
      </c>
      <c r="D483" s="2" t="s">
        <v>12</v>
      </c>
      <c r="E483" s="2" t="s">
        <v>21</v>
      </c>
      <c r="F483" s="2" t="s">
        <v>22</v>
      </c>
      <c r="G483" s="2">
        <v>7</v>
      </c>
      <c r="H483" s="2">
        <v>48</v>
      </c>
      <c r="I483" s="2">
        <v>336</v>
      </c>
      <c r="J483" s="2">
        <v>420</v>
      </c>
      <c r="K483" s="2" t="s">
        <v>15</v>
      </c>
      <c r="L483" s="19">
        <f>SalesData!I483/SalesData!J483</f>
        <v>0.8</v>
      </c>
    </row>
    <row r="484" spans="1:12" x14ac:dyDescent="0.25">
      <c r="A484" s="2">
        <v>1483</v>
      </c>
      <c r="B484" s="3">
        <v>45942</v>
      </c>
      <c r="C484" s="2" t="s">
        <v>16</v>
      </c>
      <c r="D484" s="2" t="s">
        <v>23</v>
      </c>
      <c r="E484" s="2" t="s">
        <v>26</v>
      </c>
      <c r="F484" s="2" t="s">
        <v>19</v>
      </c>
      <c r="G484" s="2">
        <v>9</v>
      </c>
      <c r="H484" s="2">
        <v>434</v>
      </c>
      <c r="I484" s="2">
        <v>3906</v>
      </c>
      <c r="J484" s="2">
        <v>4073</v>
      </c>
      <c r="K484" s="2" t="s">
        <v>20</v>
      </c>
      <c r="L484" s="19">
        <f>SalesData!I484/SalesData!J484</f>
        <v>0.95899828136508714</v>
      </c>
    </row>
    <row r="485" spans="1:12" x14ac:dyDescent="0.25">
      <c r="A485" s="2">
        <v>1484</v>
      </c>
      <c r="B485" s="3">
        <v>45753</v>
      </c>
      <c r="C485" s="2" t="s">
        <v>16</v>
      </c>
      <c r="D485" s="2" t="s">
        <v>12</v>
      </c>
      <c r="E485" s="2" t="s">
        <v>21</v>
      </c>
      <c r="F485" s="2" t="s">
        <v>22</v>
      </c>
      <c r="G485" s="2">
        <v>4</v>
      </c>
      <c r="H485" s="2">
        <v>173</v>
      </c>
      <c r="I485" s="2">
        <v>692</v>
      </c>
      <c r="J485" s="2">
        <v>563</v>
      </c>
      <c r="K485" s="2" t="s">
        <v>15</v>
      </c>
      <c r="L485" s="19">
        <f>SalesData!I485/SalesData!J485</f>
        <v>1.2291296625222026</v>
      </c>
    </row>
    <row r="486" spans="1:12" x14ac:dyDescent="0.25">
      <c r="A486" s="2">
        <v>1485</v>
      </c>
      <c r="B486" s="3">
        <v>45847</v>
      </c>
      <c r="C486" s="2" t="s">
        <v>28</v>
      </c>
      <c r="D486" s="2" t="s">
        <v>12</v>
      </c>
      <c r="E486" s="2" t="s">
        <v>21</v>
      </c>
      <c r="F486" s="2" t="s">
        <v>22</v>
      </c>
      <c r="G486" s="2">
        <v>7</v>
      </c>
      <c r="H486" s="2">
        <v>130</v>
      </c>
      <c r="I486" s="2">
        <v>910</v>
      </c>
      <c r="J486" s="2">
        <v>958</v>
      </c>
      <c r="K486" s="2" t="s">
        <v>15</v>
      </c>
      <c r="L486" s="19">
        <f>SalesData!I486/SalesData!J486</f>
        <v>0.94989561586638827</v>
      </c>
    </row>
    <row r="487" spans="1:12" x14ac:dyDescent="0.25">
      <c r="A487" s="2">
        <v>1486</v>
      </c>
      <c r="B487" s="3">
        <v>46021</v>
      </c>
      <c r="C487" s="2" t="s">
        <v>16</v>
      </c>
      <c r="D487" s="2" t="s">
        <v>23</v>
      </c>
      <c r="E487" s="2" t="s">
        <v>24</v>
      </c>
      <c r="F487" s="2" t="s">
        <v>29</v>
      </c>
      <c r="G487" s="2">
        <v>8</v>
      </c>
      <c r="H487" s="2">
        <v>143</v>
      </c>
      <c r="I487" s="2">
        <v>1144</v>
      </c>
      <c r="J487" s="2">
        <v>1068</v>
      </c>
      <c r="K487" s="2" t="s">
        <v>20</v>
      </c>
      <c r="L487" s="19">
        <f>SalesData!I487/SalesData!J487</f>
        <v>1.0711610486891385</v>
      </c>
    </row>
    <row r="488" spans="1:12" x14ac:dyDescent="0.25">
      <c r="A488" s="2">
        <v>1487</v>
      </c>
      <c r="B488" s="3">
        <v>45760</v>
      </c>
      <c r="C488" s="2" t="s">
        <v>16</v>
      </c>
      <c r="D488" s="2" t="s">
        <v>23</v>
      </c>
      <c r="E488" s="2" t="s">
        <v>24</v>
      </c>
      <c r="F488" s="2" t="s">
        <v>14</v>
      </c>
      <c r="G488" s="2">
        <v>8</v>
      </c>
      <c r="H488" s="2">
        <v>55</v>
      </c>
      <c r="I488" s="2">
        <v>440</v>
      </c>
      <c r="J488" s="2">
        <v>510</v>
      </c>
      <c r="K488" s="2" t="s">
        <v>20</v>
      </c>
      <c r="L488" s="19">
        <f>SalesData!I488/SalesData!J488</f>
        <v>0.86274509803921573</v>
      </c>
    </row>
    <row r="489" spans="1:12" x14ac:dyDescent="0.25">
      <c r="A489" s="2">
        <v>1488</v>
      </c>
      <c r="B489" s="3">
        <v>45704</v>
      </c>
      <c r="C489" s="2" t="s">
        <v>16</v>
      </c>
      <c r="D489" s="2" t="s">
        <v>12</v>
      </c>
      <c r="E489" s="2" t="s">
        <v>34</v>
      </c>
      <c r="F489" s="2" t="s">
        <v>31</v>
      </c>
      <c r="G489" s="2">
        <v>10</v>
      </c>
      <c r="H489" s="2">
        <v>13</v>
      </c>
      <c r="I489" s="2">
        <v>130</v>
      </c>
      <c r="J489" s="2">
        <v>157</v>
      </c>
      <c r="K489" s="2" t="s">
        <v>20</v>
      </c>
      <c r="L489" s="19">
        <f>SalesData!I489/SalesData!J489</f>
        <v>0.82802547770700641</v>
      </c>
    </row>
    <row r="490" spans="1:12" x14ac:dyDescent="0.25">
      <c r="A490" s="2">
        <v>1489</v>
      </c>
      <c r="B490" s="3">
        <v>45706</v>
      </c>
      <c r="C490" s="2" t="s">
        <v>16</v>
      </c>
      <c r="D490" s="2" t="s">
        <v>12</v>
      </c>
      <c r="E490" s="2" t="s">
        <v>21</v>
      </c>
      <c r="F490" s="2" t="s">
        <v>14</v>
      </c>
      <c r="G490" s="2">
        <v>7</v>
      </c>
      <c r="H490" s="2">
        <v>439</v>
      </c>
      <c r="I490" s="2">
        <v>3073</v>
      </c>
      <c r="J490" s="2">
        <v>2852</v>
      </c>
      <c r="K490" s="2" t="s">
        <v>20</v>
      </c>
      <c r="L490" s="19">
        <f>SalesData!I490/SalesData!J490</f>
        <v>1.0774894810659186</v>
      </c>
    </row>
    <row r="491" spans="1:12" x14ac:dyDescent="0.25">
      <c r="A491" s="2">
        <v>1490</v>
      </c>
      <c r="B491" s="3">
        <v>45727</v>
      </c>
      <c r="C491" s="2" t="s">
        <v>16</v>
      </c>
      <c r="D491" s="2" t="s">
        <v>12</v>
      </c>
      <c r="E491" s="2" t="s">
        <v>34</v>
      </c>
      <c r="F491" s="2" t="s">
        <v>19</v>
      </c>
      <c r="G491" s="2">
        <v>10</v>
      </c>
      <c r="H491" s="2">
        <v>272</v>
      </c>
      <c r="I491" s="2">
        <v>2720</v>
      </c>
      <c r="J491" s="2">
        <v>3069</v>
      </c>
      <c r="K491" s="2" t="s">
        <v>20</v>
      </c>
      <c r="L491" s="19">
        <f>SalesData!I491/SalesData!J491</f>
        <v>0.88628217660475728</v>
      </c>
    </row>
    <row r="492" spans="1:12" x14ac:dyDescent="0.25">
      <c r="A492" s="2">
        <v>1491</v>
      </c>
      <c r="B492" s="3">
        <v>45692</v>
      </c>
      <c r="C492" s="2" t="s">
        <v>28</v>
      </c>
      <c r="D492" s="2" t="s">
        <v>17</v>
      </c>
      <c r="E492" s="2" t="s">
        <v>27</v>
      </c>
      <c r="F492" s="2" t="s">
        <v>32</v>
      </c>
      <c r="G492" s="2">
        <v>2</v>
      </c>
      <c r="H492" s="2">
        <v>478</v>
      </c>
      <c r="I492" s="2">
        <v>956</v>
      </c>
      <c r="J492" s="2">
        <v>837</v>
      </c>
      <c r="K492" s="2" t="s">
        <v>15</v>
      </c>
      <c r="L492" s="19">
        <f>SalesData!I492/SalesData!J492</f>
        <v>1.1421744324970131</v>
      </c>
    </row>
    <row r="493" spans="1:12" x14ac:dyDescent="0.25">
      <c r="A493" s="2">
        <v>1492</v>
      </c>
      <c r="B493" s="3">
        <v>45946</v>
      </c>
      <c r="C493" s="2" t="s">
        <v>11</v>
      </c>
      <c r="D493" s="2" t="s">
        <v>17</v>
      </c>
      <c r="E493" s="2" t="s">
        <v>30</v>
      </c>
      <c r="F493" s="2" t="s">
        <v>19</v>
      </c>
      <c r="G493" s="2">
        <v>4</v>
      </c>
      <c r="H493" s="2">
        <v>408</v>
      </c>
      <c r="I493" s="2">
        <v>1632</v>
      </c>
      <c r="J493" s="2">
        <v>1343</v>
      </c>
      <c r="K493" s="2" t="s">
        <v>20</v>
      </c>
      <c r="L493" s="19">
        <f>SalesData!I493/SalesData!J493</f>
        <v>1.2151898734177216</v>
      </c>
    </row>
    <row r="494" spans="1:12" x14ac:dyDescent="0.25">
      <c r="A494" s="2">
        <v>1493</v>
      </c>
      <c r="B494" s="3">
        <v>45855</v>
      </c>
      <c r="C494" s="2" t="s">
        <v>16</v>
      </c>
      <c r="D494" s="2" t="s">
        <v>12</v>
      </c>
      <c r="E494" s="2" t="s">
        <v>13</v>
      </c>
      <c r="F494" s="2" t="s">
        <v>19</v>
      </c>
      <c r="G494" s="2">
        <v>8</v>
      </c>
      <c r="H494" s="2">
        <v>311</v>
      </c>
      <c r="I494" s="2">
        <v>2488</v>
      </c>
      <c r="J494" s="2">
        <v>2320</v>
      </c>
      <c r="K494" s="2" t="s">
        <v>20</v>
      </c>
      <c r="L494" s="19">
        <f>SalesData!I494/SalesData!J494</f>
        <v>1.0724137931034483</v>
      </c>
    </row>
    <row r="495" spans="1:12" x14ac:dyDescent="0.25">
      <c r="A495" s="2">
        <v>1494</v>
      </c>
      <c r="B495" s="3">
        <v>45660</v>
      </c>
      <c r="C495" s="2" t="s">
        <v>16</v>
      </c>
      <c r="D495" s="2" t="s">
        <v>17</v>
      </c>
      <c r="E495" s="2" t="s">
        <v>18</v>
      </c>
      <c r="F495" s="2" t="s">
        <v>19</v>
      </c>
      <c r="G495" s="2">
        <v>2</v>
      </c>
      <c r="H495" s="2">
        <v>475</v>
      </c>
      <c r="I495" s="2">
        <v>950</v>
      </c>
      <c r="J495" s="2">
        <v>1213</v>
      </c>
      <c r="K495" s="2" t="s">
        <v>20</v>
      </c>
      <c r="L495" s="19">
        <f>SalesData!I495/SalesData!J495</f>
        <v>0.78318219291014013</v>
      </c>
    </row>
    <row r="496" spans="1:12" x14ac:dyDescent="0.25">
      <c r="A496" s="2">
        <v>1495</v>
      </c>
      <c r="B496" s="3">
        <v>45723</v>
      </c>
      <c r="C496" s="2" t="s">
        <v>28</v>
      </c>
      <c r="D496" s="2" t="s">
        <v>12</v>
      </c>
      <c r="E496" s="2" t="s">
        <v>13</v>
      </c>
      <c r="F496" s="2" t="s">
        <v>22</v>
      </c>
      <c r="G496" s="2">
        <v>8</v>
      </c>
      <c r="H496" s="2">
        <v>184</v>
      </c>
      <c r="I496" s="2">
        <v>1472</v>
      </c>
      <c r="J496" s="2">
        <v>1439</v>
      </c>
      <c r="K496" s="2" t="s">
        <v>15</v>
      </c>
      <c r="L496" s="19">
        <f>SalesData!I496/SalesData!J496</f>
        <v>1.0229325920778318</v>
      </c>
    </row>
    <row r="497" spans="1:12" x14ac:dyDescent="0.25">
      <c r="A497" s="2">
        <v>1496</v>
      </c>
      <c r="B497" s="3">
        <v>45759</v>
      </c>
      <c r="C497" s="2" t="s">
        <v>28</v>
      </c>
      <c r="D497" s="2" t="s">
        <v>12</v>
      </c>
      <c r="E497" s="2" t="s">
        <v>33</v>
      </c>
      <c r="F497" s="2" t="s">
        <v>31</v>
      </c>
      <c r="G497" s="2">
        <v>10</v>
      </c>
      <c r="H497" s="2">
        <v>169</v>
      </c>
      <c r="I497" s="2">
        <v>1690</v>
      </c>
      <c r="J497" s="2">
        <v>1581</v>
      </c>
      <c r="K497" s="2" t="s">
        <v>20</v>
      </c>
      <c r="L497" s="19">
        <f>SalesData!I497/SalesData!J497</f>
        <v>1.0689437065148639</v>
      </c>
    </row>
    <row r="498" spans="1:12" x14ac:dyDescent="0.25">
      <c r="A498" s="2">
        <v>1497</v>
      </c>
      <c r="B498" s="3">
        <v>45659</v>
      </c>
      <c r="C498" s="2" t="s">
        <v>28</v>
      </c>
      <c r="D498" s="2" t="s">
        <v>17</v>
      </c>
      <c r="E498" s="2" t="s">
        <v>18</v>
      </c>
      <c r="F498" s="2" t="s">
        <v>22</v>
      </c>
      <c r="G498" s="2">
        <v>6</v>
      </c>
      <c r="H498" s="2">
        <v>421</v>
      </c>
      <c r="I498" s="2">
        <v>2526</v>
      </c>
      <c r="J498" s="2">
        <v>2420</v>
      </c>
      <c r="K498" s="2" t="s">
        <v>15</v>
      </c>
      <c r="L498" s="19">
        <f>SalesData!I498/SalesData!J498</f>
        <v>1.043801652892562</v>
      </c>
    </row>
    <row r="499" spans="1:12" x14ac:dyDescent="0.25">
      <c r="A499" s="2">
        <v>1498</v>
      </c>
      <c r="B499" s="3">
        <v>45918</v>
      </c>
      <c r="C499" s="2" t="s">
        <v>25</v>
      </c>
      <c r="D499" s="2" t="s">
        <v>23</v>
      </c>
      <c r="E499" s="2" t="s">
        <v>24</v>
      </c>
      <c r="F499" s="2" t="s">
        <v>32</v>
      </c>
      <c r="G499" s="2">
        <v>6</v>
      </c>
      <c r="H499" s="2">
        <v>224</v>
      </c>
      <c r="I499" s="2">
        <v>1344</v>
      </c>
      <c r="J499" s="2">
        <v>1719</v>
      </c>
      <c r="K499" s="2" t="s">
        <v>15</v>
      </c>
      <c r="L499" s="19">
        <f>SalesData!I499/SalesData!J499</f>
        <v>0.78184991273996507</v>
      </c>
    </row>
    <row r="500" spans="1:12" x14ac:dyDescent="0.25">
      <c r="A500" s="2">
        <v>1499</v>
      </c>
      <c r="B500" s="3">
        <v>45720</v>
      </c>
      <c r="C500" s="2" t="s">
        <v>28</v>
      </c>
      <c r="D500" s="2" t="s">
        <v>17</v>
      </c>
      <c r="E500" s="2" t="s">
        <v>27</v>
      </c>
      <c r="F500" s="2" t="s">
        <v>19</v>
      </c>
      <c r="G500" s="2">
        <v>10</v>
      </c>
      <c r="H500" s="2">
        <v>426</v>
      </c>
      <c r="I500" s="2">
        <v>4260</v>
      </c>
      <c r="J500" s="2">
        <v>5207</v>
      </c>
      <c r="K500" s="2" t="s">
        <v>20</v>
      </c>
      <c r="L500" s="19">
        <f>SalesData!I500/SalesData!J500</f>
        <v>0.81812944113693109</v>
      </c>
    </row>
    <row r="501" spans="1:12" x14ac:dyDescent="0.25">
      <c r="A501" s="2">
        <v>1500</v>
      </c>
      <c r="B501" s="3">
        <v>45914</v>
      </c>
      <c r="C501" s="2" t="s">
        <v>28</v>
      </c>
      <c r="D501" s="2" t="s">
        <v>23</v>
      </c>
      <c r="E501" s="2" t="s">
        <v>26</v>
      </c>
      <c r="F501" s="2" t="s">
        <v>32</v>
      </c>
      <c r="G501" s="2">
        <v>4</v>
      </c>
      <c r="H501" s="2">
        <v>183</v>
      </c>
      <c r="I501" s="2">
        <v>732</v>
      </c>
      <c r="J501" s="2">
        <v>833</v>
      </c>
      <c r="K501" s="2" t="s">
        <v>20</v>
      </c>
      <c r="L501" s="19">
        <f>SalesData!I501/SalesData!J501</f>
        <v>0.8787515006002401</v>
      </c>
    </row>
  </sheetData>
  <pageMargins left="0.75" right="0.75" top="1" bottom="1" header="0.5" footer="0.5"/>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4"/>
  <sheetViews>
    <sheetView workbookViewId="0">
      <selection activeCell="A59" sqref="A59"/>
    </sheetView>
  </sheetViews>
  <sheetFormatPr defaultRowHeight="15" x14ac:dyDescent="0.25"/>
  <cols>
    <col min="1" max="1" width="105.28515625" customWidth="1"/>
    <col min="2" max="2" width="98" customWidth="1"/>
  </cols>
  <sheetData>
    <row r="1" spans="1:2" ht="31.5" x14ac:dyDescent="0.25">
      <c r="A1" s="8" t="s">
        <v>37</v>
      </c>
      <c r="B1" t="s">
        <v>125</v>
      </c>
    </row>
    <row r="3" spans="1:2" ht="23.25" x14ac:dyDescent="0.25">
      <c r="A3" t="s">
        <v>38</v>
      </c>
      <c r="B3" s="9" t="s">
        <v>126</v>
      </c>
    </row>
    <row r="5" spans="1:2" ht="23.25" x14ac:dyDescent="0.25">
      <c r="A5" s="9" t="s">
        <v>39</v>
      </c>
      <c r="B5" s="12" t="s">
        <v>127</v>
      </c>
    </row>
    <row r="6" spans="1:2" x14ac:dyDescent="0.25">
      <c r="A6" s="7"/>
      <c r="B6" s="12" t="s">
        <v>128</v>
      </c>
    </row>
    <row r="7" spans="1:2" x14ac:dyDescent="0.25">
      <c r="A7" s="7" t="s">
        <v>40</v>
      </c>
      <c r="B7" s="12" t="s">
        <v>127</v>
      </c>
    </row>
    <row r="8" spans="1:2" x14ac:dyDescent="0.25">
      <c r="A8" s="7"/>
      <c r="B8" s="5"/>
    </row>
    <row r="9" spans="1:2" x14ac:dyDescent="0.25">
      <c r="A9" s="7" t="s">
        <v>41</v>
      </c>
      <c r="B9" s="12" t="s">
        <v>129</v>
      </c>
    </row>
    <row r="10" spans="1:2" x14ac:dyDescent="0.25">
      <c r="A10" s="7"/>
      <c r="B10" s="12" t="s">
        <v>130</v>
      </c>
    </row>
    <row r="11" spans="1:2" x14ac:dyDescent="0.25">
      <c r="A11" s="7" t="s">
        <v>42</v>
      </c>
      <c r="B11" s="12" t="s">
        <v>131</v>
      </c>
    </row>
    <row r="12" spans="1:2" x14ac:dyDescent="0.25">
      <c r="A12" s="7"/>
      <c r="B12" s="12" t="s">
        <v>132</v>
      </c>
    </row>
    <row r="13" spans="1:2" x14ac:dyDescent="0.25">
      <c r="A13" s="7" t="s">
        <v>43</v>
      </c>
      <c r="B13" s="5"/>
    </row>
    <row r="14" spans="1:2" x14ac:dyDescent="0.25">
      <c r="A14" s="7"/>
      <c r="B14" s="12" t="s">
        <v>133</v>
      </c>
    </row>
    <row r="15" spans="1:2" x14ac:dyDescent="0.25">
      <c r="A15" s="7" t="s">
        <v>44</v>
      </c>
      <c r="B15" s="12" t="s">
        <v>134</v>
      </c>
    </row>
    <row r="16" spans="1:2" x14ac:dyDescent="0.25">
      <c r="A16" s="7"/>
      <c r="B16" s="5"/>
    </row>
    <row r="17" spans="1:2" x14ac:dyDescent="0.25">
      <c r="A17" s="7" t="s">
        <v>45</v>
      </c>
      <c r="B17" s="12" t="s">
        <v>135</v>
      </c>
    </row>
    <row r="18" spans="1:2" x14ac:dyDescent="0.25">
      <c r="A18" s="7"/>
      <c r="B18" s="5"/>
    </row>
    <row r="19" spans="1:2" x14ac:dyDescent="0.25">
      <c r="A19" s="7"/>
      <c r="B19" s="12" t="s">
        <v>136</v>
      </c>
    </row>
    <row r="20" spans="1:2" x14ac:dyDescent="0.25">
      <c r="A20" s="10"/>
      <c r="B20" s="5"/>
    </row>
    <row r="21" spans="1:2" x14ac:dyDescent="0.25">
      <c r="A21" s="10" t="s">
        <v>46</v>
      </c>
      <c r="B21" s="12" t="s">
        <v>137</v>
      </c>
    </row>
    <row r="22" spans="1:2" x14ac:dyDescent="0.25">
      <c r="A22" s="11" t="s">
        <v>47</v>
      </c>
      <c r="B22" s="5"/>
    </row>
    <row r="23" spans="1:2" x14ac:dyDescent="0.25">
      <c r="A23" s="7"/>
      <c r="B23" s="12" t="s">
        <v>138</v>
      </c>
    </row>
    <row r="24" spans="1:2" x14ac:dyDescent="0.25">
      <c r="A24" s="7" t="s">
        <v>48</v>
      </c>
      <c r="B24" s="12" t="s">
        <v>139</v>
      </c>
    </row>
    <row r="25" spans="1:2" x14ac:dyDescent="0.25">
      <c r="A25" s="7"/>
      <c r="B25" s="12" t="s">
        <v>140</v>
      </c>
    </row>
    <row r="26" spans="1:2" x14ac:dyDescent="0.25">
      <c r="A26" s="7" t="s">
        <v>49</v>
      </c>
      <c r="B26" s="12" t="s">
        <v>141</v>
      </c>
    </row>
    <row r="27" spans="1:2" x14ac:dyDescent="0.25">
      <c r="A27" s="7"/>
      <c r="B27" s="5"/>
    </row>
    <row r="28" spans="1:2" x14ac:dyDescent="0.25">
      <c r="A28" s="7" t="s">
        <v>50</v>
      </c>
      <c r="B28" s="12" t="s">
        <v>135</v>
      </c>
    </row>
    <row r="29" spans="1:2" x14ac:dyDescent="0.25">
      <c r="A29" s="7"/>
      <c r="B29" s="5"/>
    </row>
    <row r="30" spans="1:2" x14ac:dyDescent="0.25">
      <c r="A30" s="7" t="s">
        <v>51</v>
      </c>
      <c r="B30" s="12" t="s">
        <v>142</v>
      </c>
    </row>
    <row r="31" spans="1:2" x14ac:dyDescent="0.25">
      <c r="B31" s="5"/>
    </row>
    <row r="32" spans="1:2" x14ac:dyDescent="0.25">
      <c r="B32" s="12" t="s">
        <v>143</v>
      </c>
    </row>
    <row r="33" spans="1:2" x14ac:dyDescent="0.25">
      <c r="B33" s="5"/>
    </row>
    <row r="34" spans="1:2" ht="23.25" x14ac:dyDescent="0.25">
      <c r="A34" s="9" t="s">
        <v>52</v>
      </c>
      <c r="B34" s="12" t="s">
        <v>144</v>
      </c>
    </row>
    <row r="35" spans="1:2" x14ac:dyDescent="0.25">
      <c r="B35" s="12" t="s">
        <v>145</v>
      </c>
    </row>
    <row r="36" spans="1:2" x14ac:dyDescent="0.25">
      <c r="A36" t="s">
        <v>53</v>
      </c>
      <c r="B36" s="12" t="s">
        <v>146</v>
      </c>
    </row>
    <row r="37" spans="1:2" x14ac:dyDescent="0.25">
      <c r="A37" s="7"/>
      <c r="B37" s="12" t="s">
        <v>147</v>
      </c>
    </row>
    <row r="38" spans="1:2" x14ac:dyDescent="0.25">
      <c r="A38" s="7" t="s">
        <v>54</v>
      </c>
      <c r="B38" s="5"/>
    </row>
    <row r="39" spans="1:2" x14ac:dyDescent="0.25">
      <c r="A39" s="7"/>
      <c r="B39" s="12" t="s">
        <v>135</v>
      </c>
    </row>
    <row r="40" spans="1:2" x14ac:dyDescent="0.25">
      <c r="A40" s="7" t="s">
        <v>55</v>
      </c>
      <c r="B40" s="5"/>
    </row>
    <row r="41" spans="1:2" x14ac:dyDescent="0.25">
      <c r="A41" s="7"/>
      <c r="B41" s="12" t="s">
        <v>148</v>
      </c>
    </row>
    <row r="42" spans="1:2" x14ac:dyDescent="0.25">
      <c r="A42" s="7" t="s">
        <v>56</v>
      </c>
      <c r="B42" s="5"/>
    </row>
    <row r="43" spans="1:2" x14ac:dyDescent="0.25">
      <c r="A43" s="7"/>
      <c r="B43" s="12" t="s">
        <v>149</v>
      </c>
    </row>
    <row r="44" spans="1:2" x14ac:dyDescent="0.25">
      <c r="A44" s="7" t="s">
        <v>57</v>
      </c>
      <c r="B44" s="5"/>
    </row>
    <row r="45" spans="1:2" x14ac:dyDescent="0.25">
      <c r="B45" s="12" t="s">
        <v>150</v>
      </c>
    </row>
    <row r="46" spans="1:2" x14ac:dyDescent="0.25">
      <c r="B46" s="12" t="s">
        <v>151</v>
      </c>
    </row>
    <row r="47" spans="1:2" x14ac:dyDescent="0.25">
      <c r="B47" s="12" t="s">
        <v>152</v>
      </c>
    </row>
    <row r="48" spans="1:2" ht="23.25" x14ac:dyDescent="0.25">
      <c r="A48" s="9" t="s">
        <v>58</v>
      </c>
      <c r="B48" s="5"/>
    </row>
    <row r="49" spans="1:2" x14ac:dyDescent="0.25">
      <c r="B49" s="12" t="s">
        <v>135</v>
      </c>
    </row>
    <row r="50" spans="1:2" x14ac:dyDescent="0.25">
      <c r="A50" t="s">
        <v>59</v>
      </c>
      <c r="B50" s="5"/>
    </row>
    <row r="51" spans="1:2" x14ac:dyDescent="0.25">
      <c r="A51" s="7"/>
      <c r="B51" s="12" t="s">
        <v>153</v>
      </c>
    </row>
    <row r="52" spans="1:2" x14ac:dyDescent="0.25">
      <c r="A52" s="7" t="s">
        <v>60</v>
      </c>
      <c r="B52" s="5"/>
    </row>
    <row r="53" spans="1:2" x14ac:dyDescent="0.25">
      <c r="A53" s="7"/>
      <c r="B53" s="12" t="s">
        <v>154</v>
      </c>
    </row>
    <row r="54" spans="1:2" x14ac:dyDescent="0.25">
      <c r="A54" s="7" t="s">
        <v>61</v>
      </c>
      <c r="B54" s="5"/>
    </row>
    <row r="55" spans="1:2" x14ac:dyDescent="0.25">
      <c r="A55" s="7"/>
      <c r="B55" s="12" t="s">
        <v>25</v>
      </c>
    </row>
    <row r="56" spans="1:2" x14ac:dyDescent="0.25">
      <c r="A56" s="7" t="s">
        <v>62</v>
      </c>
      <c r="B56" s="12" t="s">
        <v>155</v>
      </c>
    </row>
    <row r="57" spans="1:2" x14ac:dyDescent="0.25">
      <c r="A57" s="7"/>
      <c r="B57" s="12" t="s">
        <v>156</v>
      </c>
    </row>
    <row r="58" spans="1:2" x14ac:dyDescent="0.25">
      <c r="A58" s="7" t="s">
        <v>63</v>
      </c>
      <c r="B58" s="12" t="s">
        <v>157</v>
      </c>
    </row>
    <row r="59" spans="1:2" x14ac:dyDescent="0.25">
      <c r="B59" s="5"/>
    </row>
    <row r="60" spans="1:2" x14ac:dyDescent="0.25">
      <c r="B60" s="12" t="s">
        <v>11</v>
      </c>
    </row>
    <row r="61" spans="1:2" x14ac:dyDescent="0.25">
      <c r="B61" s="12" t="s">
        <v>158</v>
      </c>
    </row>
    <row r="62" spans="1:2" ht="23.25" x14ac:dyDescent="0.25">
      <c r="A62" s="9" t="s">
        <v>64</v>
      </c>
      <c r="B62" s="12" t="s">
        <v>159</v>
      </c>
    </row>
    <row r="63" spans="1:2" x14ac:dyDescent="0.25">
      <c r="B63" s="5"/>
    </row>
    <row r="64" spans="1:2" x14ac:dyDescent="0.25">
      <c r="A64" t="s">
        <v>59</v>
      </c>
      <c r="B64" s="12" t="s">
        <v>135</v>
      </c>
    </row>
    <row r="65" spans="1:2" x14ac:dyDescent="0.25">
      <c r="A65" s="7"/>
      <c r="B65" s="5"/>
    </row>
    <row r="66" spans="1:2" x14ac:dyDescent="0.25">
      <c r="A66" s="7" t="s">
        <v>65</v>
      </c>
      <c r="B66" s="12" t="s">
        <v>160</v>
      </c>
    </row>
    <row r="67" spans="1:2" x14ac:dyDescent="0.25">
      <c r="A67" s="7"/>
      <c r="B67" s="5"/>
    </row>
    <row r="68" spans="1:2" x14ac:dyDescent="0.25">
      <c r="A68" s="7" t="s">
        <v>66</v>
      </c>
      <c r="B68" s="12" t="s">
        <v>161</v>
      </c>
    </row>
    <row r="69" spans="1:2" x14ac:dyDescent="0.25">
      <c r="A69" s="7"/>
      <c r="B69" s="5"/>
    </row>
    <row r="70" spans="1:2" x14ac:dyDescent="0.25">
      <c r="A70" s="7" t="s">
        <v>67</v>
      </c>
      <c r="B70" s="12" t="s">
        <v>35</v>
      </c>
    </row>
    <row r="71" spans="1:2" x14ac:dyDescent="0.25">
      <c r="A71" s="7"/>
      <c r="B71" s="12" t="s">
        <v>24</v>
      </c>
    </row>
    <row r="72" spans="1:2" x14ac:dyDescent="0.25">
      <c r="A72" s="7" t="s">
        <v>68</v>
      </c>
      <c r="B72" s="12" t="s">
        <v>26</v>
      </c>
    </row>
    <row r="73" spans="1:2" x14ac:dyDescent="0.25">
      <c r="B73" s="12" t="s">
        <v>27</v>
      </c>
    </row>
    <row r="74" spans="1:2" x14ac:dyDescent="0.25">
      <c r="B74" s="5"/>
    </row>
    <row r="75" spans="1:2" x14ac:dyDescent="0.25">
      <c r="B75" s="12" t="s">
        <v>135</v>
      </c>
    </row>
    <row r="76" spans="1:2" ht="23.25" x14ac:dyDescent="0.25">
      <c r="A76" s="9" t="s">
        <v>69</v>
      </c>
      <c r="B76" s="5"/>
    </row>
    <row r="77" spans="1:2" x14ac:dyDescent="0.25">
      <c r="B77" s="12" t="s">
        <v>162</v>
      </c>
    </row>
    <row r="78" spans="1:2" x14ac:dyDescent="0.25">
      <c r="A78" t="s">
        <v>59</v>
      </c>
      <c r="B78" s="5"/>
    </row>
    <row r="79" spans="1:2" x14ac:dyDescent="0.25">
      <c r="A79" s="7"/>
      <c r="B79" s="12" t="s">
        <v>163</v>
      </c>
    </row>
    <row r="80" spans="1:2" x14ac:dyDescent="0.25">
      <c r="A80" s="7" t="s">
        <v>70</v>
      </c>
      <c r="B80" s="12" t="s">
        <v>164</v>
      </c>
    </row>
    <row r="81" spans="1:2" x14ac:dyDescent="0.25">
      <c r="A81" s="7"/>
      <c r="B81" s="12" t="s">
        <v>165</v>
      </c>
    </row>
    <row r="82" spans="1:2" x14ac:dyDescent="0.25">
      <c r="A82" s="7" t="s">
        <v>71</v>
      </c>
      <c r="B82" s="12" t="s">
        <v>166</v>
      </c>
    </row>
    <row r="83" spans="1:2" x14ac:dyDescent="0.25">
      <c r="A83" s="7"/>
    </row>
    <row r="84" spans="1:2" x14ac:dyDescent="0.25">
      <c r="A84" s="7" t="s">
        <v>72</v>
      </c>
    </row>
    <row r="85" spans="1:2" x14ac:dyDescent="0.25">
      <c r="A85" s="7"/>
    </row>
    <row r="86" spans="1:2" ht="23.25" x14ac:dyDescent="0.25">
      <c r="A86" s="7" t="s">
        <v>73</v>
      </c>
      <c r="B86" s="9" t="s">
        <v>167</v>
      </c>
    </row>
    <row r="87" spans="1:2" x14ac:dyDescent="0.25">
      <c r="B87" s="7"/>
    </row>
    <row r="88" spans="1:2" x14ac:dyDescent="0.25">
      <c r="B88" s="7" t="s">
        <v>168</v>
      </c>
    </row>
    <row r="89" spans="1:2" x14ac:dyDescent="0.25">
      <c r="B89" s="7"/>
    </row>
    <row r="90" spans="1:2" ht="23.25" x14ac:dyDescent="0.25">
      <c r="A90" s="9" t="s">
        <v>74</v>
      </c>
      <c r="B90" s="7" t="s">
        <v>169</v>
      </c>
    </row>
    <row r="91" spans="1:2" x14ac:dyDescent="0.25">
      <c r="B91" s="7"/>
    </row>
    <row r="92" spans="1:2" x14ac:dyDescent="0.25">
      <c r="A92" t="s">
        <v>59</v>
      </c>
      <c r="B92" s="7" t="s">
        <v>170</v>
      </c>
    </row>
    <row r="93" spans="1:2" x14ac:dyDescent="0.25">
      <c r="A93" s="7"/>
      <c r="B93" s="7"/>
    </row>
    <row r="94" spans="1:2" x14ac:dyDescent="0.25">
      <c r="A94" s="7" t="s">
        <v>75</v>
      </c>
      <c r="B94" s="7" t="s">
        <v>171</v>
      </c>
    </row>
    <row r="95" spans="1:2" x14ac:dyDescent="0.25">
      <c r="A95" s="7"/>
      <c r="B95" s="7"/>
    </row>
    <row r="96" spans="1:2" x14ac:dyDescent="0.25">
      <c r="A96" s="7" t="s">
        <v>76</v>
      </c>
      <c r="B96" s="7" t="s">
        <v>172</v>
      </c>
    </row>
    <row r="97" spans="1:3" x14ac:dyDescent="0.25">
      <c r="A97" s="7"/>
      <c r="B97" s="7"/>
    </row>
    <row r="98" spans="1:3" x14ac:dyDescent="0.25">
      <c r="A98" s="7" t="s">
        <v>77</v>
      </c>
      <c r="B98" s="7" t="s">
        <v>173</v>
      </c>
    </row>
    <row r="99" spans="1:3" x14ac:dyDescent="0.25">
      <c r="A99" s="7"/>
      <c r="B99" s="7"/>
    </row>
    <row r="100" spans="1:3" x14ac:dyDescent="0.25">
      <c r="A100" s="7" t="s">
        <v>78</v>
      </c>
      <c r="B100" s="7" t="s">
        <v>174</v>
      </c>
    </row>
    <row r="104" spans="1:3" ht="23.25" x14ac:dyDescent="0.25">
      <c r="A104" s="9" t="s">
        <v>79</v>
      </c>
      <c r="B104" s="9" t="s">
        <v>175</v>
      </c>
    </row>
    <row r="106" spans="1:3" x14ac:dyDescent="0.25">
      <c r="A106" t="s">
        <v>59</v>
      </c>
      <c r="B106" s="13" t="s">
        <v>176</v>
      </c>
      <c r="C106" s="13" t="s">
        <v>177</v>
      </c>
    </row>
    <row r="107" spans="1:3" ht="30" x14ac:dyDescent="0.25">
      <c r="A107" s="7"/>
      <c r="B107" s="14" t="s">
        <v>178</v>
      </c>
      <c r="C107" s="15" t="s">
        <v>179</v>
      </c>
    </row>
    <row r="108" spans="1:3" ht="30" x14ac:dyDescent="0.25">
      <c r="A108" s="7" t="s">
        <v>80</v>
      </c>
      <c r="B108" s="14" t="s">
        <v>180</v>
      </c>
      <c r="C108" s="15" t="s">
        <v>181</v>
      </c>
    </row>
    <row r="109" spans="1:3" ht="30" x14ac:dyDescent="0.25">
      <c r="A109" s="7"/>
      <c r="B109" s="14" t="s">
        <v>182</v>
      </c>
      <c r="C109" s="15" t="s">
        <v>183</v>
      </c>
    </row>
    <row r="110" spans="1:3" ht="60" x14ac:dyDescent="0.25">
      <c r="A110" s="7" t="s">
        <v>81</v>
      </c>
      <c r="B110" s="14" t="s">
        <v>184</v>
      </c>
      <c r="C110" s="15" t="s">
        <v>185</v>
      </c>
    </row>
    <row r="111" spans="1:3" ht="45" x14ac:dyDescent="0.25">
      <c r="A111" s="7"/>
      <c r="B111" s="14" t="s">
        <v>186</v>
      </c>
      <c r="C111" s="15" t="s">
        <v>187</v>
      </c>
    </row>
    <row r="112" spans="1:3" ht="45" x14ac:dyDescent="0.25">
      <c r="A112" s="7" t="s">
        <v>82</v>
      </c>
      <c r="B112" s="14" t="s">
        <v>188</v>
      </c>
      <c r="C112" s="15" t="s">
        <v>189</v>
      </c>
    </row>
    <row r="113" spans="1:3" ht="30" x14ac:dyDescent="0.25">
      <c r="B113" s="14" t="s">
        <v>190</v>
      </c>
      <c r="C113" s="14" t="s">
        <v>191</v>
      </c>
    </row>
    <row r="114" spans="1:3" ht="30" x14ac:dyDescent="0.25">
      <c r="B114" s="14" t="s">
        <v>192</v>
      </c>
      <c r="C114" s="14" t="s">
        <v>191</v>
      </c>
    </row>
    <row r="115" spans="1:3" ht="30" x14ac:dyDescent="0.25">
      <c r="B115" s="14" t="s">
        <v>193</v>
      </c>
      <c r="C115" s="14" t="s">
        <v>191</v>
      </c>
    </row>
    <row r="116" spans="1:3" ht="30" x14ac:dyDescent="0.25">
      <c r="A116" s="9" t="s">
        <v>83</v>
      </c>
      <c r="B116" s="14" t="s">
        <v>194</v>
      </c>
      <c r="C116" s="14" t="s">
        <v>191</v>
      </c>
    </row>
    <row r="118" spans="1:3" x14ac:dyDescent="0.25">
      <c r="A118" t="s">
        <v>84</v>
      </c>
    </row>
    <row r="119" spans="1:3" ht="23.25" x14ac:dyDescent="0.25">
      <c r="A119" s="7"/>
      <c r="B119" s="9" t="s">
        <v>195</v>
      </c>
    </row>
    <row r="120" spans="1:3" x14ac:dyDescent="0.25">
      <c r="A120" s="7" t="s">
        <v>85</v>
      </c>
    </row>
    <row r="121" spans="1:3" x14ac:dyDescent="0.25">
      <c r="A121" s="7"/>
      <c r="B121" s="13" t="s">
        <v>196</v>
      </c>
      <c r="C121" s="13" t="s">
        <v>197</v>
      </c>
    </row>
    <row r="122" spans="1:3" x14ac:dyDescent="0.25">
      <c r="A122" s="7" t="s">
        <v>86</v>
      </c>
      <c r="B122" s="14" t="s">
        <v>54</v>
      </c>
      <c r="C122" s="14" t="s">
        <v>198</v>
      </c>
    </row>
    <row r="123" spans="1:3" x14ac:dyDescent="0.25">
      <c r="A123" s="7"/>
      <c r="B123" s="14" t="s">
        <v>56</v>
      </c>
      <c r="C123" s="14" t="s">
        <v>199</v>
      </c>
    </row>
    <row r="124" spans="1:3" x14ac:dyDescent="0.25">
      <c r="A124" s="7" t="s">
        <v>2</v>
      </c>
      <c r="B124" s="14" t="s">
        <v>60</v>
      </c>
      <c r="C124" s="14" t="s">
        <v>200</v>
      </c>
    </row>
    <row r="125" spans="1:3" x14ac:dyDescent="0.25">
      <c r="A125" s="7"/>
      <c r="B125" s="14" t="s">
        <v>65</v>
      </c>
      <c r="C125" s="14" t="s">
        <v>201</v>
      </c>
    </row>
    <row r="126" spans="1:3" ht="30" x14ac:dyDescent="0.25">
      <c r="A126" s="7" t="s">
        <v>3</v>
      </c>
      <c r="B126" s="14" t="s">
        <v>202</v>
      </c>
      <c r="C126" s="14" t="s">
        <v>203</v>
      </c>
    </row>
    <row r="127" spans="1:3" ht="30" x14ac:dyDescent="0.25">
      <c r="A127" s="7"/>
      <c r="B127" s="14" t="s">
        <v>160</v>
      </c>
      <c r="C127" s="14" t="s">
        <v>203</v>
      </c>
    </row>
    <row r="128" spans="1:3" x14ac:dyDescent="0.25">
      <c r="A128" s="7" t="s">
        <v>5</v>
      </c>
      <c r="B128" s="14" t="s">
        <v>204</v>
      </c>
      <c r="C128" s="14" t="s">
        <v>200</v>
      </c>
    </row>
    <row r="129" spans="1:3" ht="45" x14ac:dyDescent="0.25">
      <c r="A129" s="7"/>
      <c r="B129" s="14" t="s">
        <v>205</v>
      </c>
      <c r="C129" s="14" t="s">
        <v>206</v>
      </c>
    </row>
    <row r="130" spans="1:3" ht="30" x14ac:dyDescent="0.25">
      <c r="A130" s="7" t="s">
        <v>36</v>
      </c>
      <c r="B130" s="14" t="s">
        <v>153</v>
      </c>
      <c r="C130" s="14" t="s">
        <v>207</v>
      </c>
    </row>
    <row r="133" spans="1:3" ht="23.25" x14ac:dyDescent="0.25">
      <c r="B133" s="9" t="s">
        <v>208</v>
      </c>
    </row>
    <row r="134" spans="1:3" ht="31.5" x14ac:dyDescent="0.25">
      <c r="A134" s="8" t="s">
        <v>87</v>
      </c>
    </row>
    <row r="135" spans="1:3" x14ac:dyDescent="0.25">
      <c r="B135" t="s">
        <v>84</v>
      </c>
    </row>
    <row r="136" spans="1:3" x14ac:dyDescent="0.25">
      <c r="A136" t="s">
        <v>88</v>
      </c>
      <c r="B136" s="7"/>
    </row>
    <row r="137" spans="1:3" x14ac:dyDescent="0.25">
      <c r="A137" s="7"/>
      <c r="B137" s="7" t="s">
        <v>85</v>
      </c>
    </row>
    <row r="138" spans="1:3" x14ac:dyDescent="0.25">
      <c r="A138" s="7" t="s">
        <v>39</v>
      </c>
      <c r="B138" s="7"/>
    </row>
    <row r="139" spans="1:3" x14ac:dyDescent="0.25">
      <c r="A139" s="7"/>
      <c r="B139" s="7" t="s">
        <v>86</v>
      </c>
    </row>
    <row r="140" spans="1:3" x14ac:dyDescent="0.25">
      <c r="A140" s="7" t="s">
        <v>89</v>
      </c>
      <c r="B140" s="7"/>
    </row>
    <row r="141" spans="1:3" x14ac:dyDescent="0.25">
      <c r="A141" s="7"/>
      <c r="B141" s="7" t="s">
        <v>2</v>
      </c>
    </row>
    <row r="142" spans="1:3" x14ac:dyDescent="0.25">
      <c r="A142" s="7" t="s">
        <v>90</v>
      </c>
      <c r="B142" s="7"/>
    </row>
    <row r="143" spans="1:3" x14ac:dyDescent="0.25">
      <c r="A143" s="7"/>
      <c r="B143" s="7" t="s">
        <v>3</v>
      </c>
    </row>
    <row r="144" spans="1:3" x14ac:dyDescent="0.25">
      <c r="A144" s="7" t="s">
        <v>91</v>
      </c>
      <c r="B144" s="7"/>
    </row>
    <row r="145" spans="1:2" x14ac:dyDescent="0.25">
      <c r="A145" s="7"/>
      <c r="B145" s="7" t="s">
        <v>4</v>
      </c>
    </row>
    <row r="146" spans="1:2" x14ac:dyDescent="0.25">
      <c r="A146" s="7" t="s">
        <v>92</v>
      </c>
      <c r="B146" s="7"/>
    </row>
    <row r="147" spans="1:2" x14ac:dyDescent="0.25">
      <c r="A147" s="7"/>
      <c r="B147" s="7" t="s">
        <v>5</v>
      </c>
    </row>
    <row r="148" spans="1:2" x14ac:dyDescent="0.25">
      <c r="A148" s="7" t="s">
        <v>93</v>
      </c>
      <c r="B148" s="7"/>
    </row>
    <row r="149" spans="1:2" x14ac:dyDescent="0.25">
      <c r="A149" s="7"/>
      <c r="B149" s="7" t="s">
        <v>36</v>
      </c>
    </row>
    <row r="150" spans="1:2" x14ac:dyDescent="0.25">
      <c r="A150" s="7" t="s">
        <v>94</v>
      </c>
    </row>
    <row r="151" spans="1:2" x14ac:dyDescent="0.25">
      <c r="A151" s="7"/>
    </row>
    <row r="152" spans="1:2" x14ac:dyDescent="0.25">
      <c r="A152" s="7" t="s">
        <v>95</v>
      </c>
    </row>
    <row r="153" spans="1:2" ht="23.25" x14ac:dyDescent="0.25">
      <c r="A153" s="7"/>
      <c r="B153" s="9" t="s">
        <v>209</v>
      </c>
    </row>
    <row r="154" spans="1:2" x14ac:dyDescent="0.25">
      <c r="A154" s="7" t="s">
        <v>96</v>
      </c>
    </row>
    <row r="155" spans="1:2" x14ac:dyDescent="0.25">
      <c r="A155" s="7"/>
      <c r="B155" s="4" t="s">
        <v>210</v>
      </c>
    </row>
    <row r="156" spans="1:2" x14ac:dyDescent="0.25">
      <c r="A156" s="7" t="s">
        <v>97</v>
      </c>
    </row>
    <row r="157" spans="1:2" ht="18" x14ac:dyDescent="0.25">
      <c r="B157" s="6" t="s">
        <v>211</v>
      </c>
    </row>
    <row r="158" spans="1:2" x14ac:dyDescent="0.25">
      <c r="B158" s="7"/>
    </row>
    <row r="159" spans="1:2" x14ac:dyDescent="0.25">
      <c r="B159" s="7" t="s">
        <v>212</v>
      </c>
    </row>
    <row r="160" spans="1:2" ht="31.5" x14ac:dyDescent="0.25">
      <c r="A160" s="8" t="s">
        <v>98</v>
      </c>
    </row>
    <row r="161" spans="1:2" x14ac:dyDescent="0.25">
      <c r="A161" s="7"/>
      <c r="B161" t="s">
        <v>213</v>
      </c>
    </row>
    <row r="162" spans="1:2" x14ac:dyDescent="0.25">
      <c r="A162" s="7" t="s">
        <v>99</v>
      </c>
    </row>
    <row r="163" spans="1:2" x14ac:dyDescent="0.25">
      <c r="A163" s="7"/>
    </row>
    <row r="164" spans="1:2" x14ac:dyDescent="0.25">
      <c r="A164" s="7" t="s">
        <v>100</v>
      </c>
    </row>
    <row r="165" spans="1:2" x14ac:dyDescent="0.25">
      <c r="A165" s="7"/>
    </row>
    <row r="166" spans="1:2" x14ac:dyDescent="0.25">
      <c r="A166" s="7" t="s">
        <v>101</v>
      </c>
    </row>
    <row r="167" spans="1:2" x14ac:dyDescent="0.25">
      <c r="A167" s="7"/>
    </row>
    <row r="168" spans="1:2" x14ac:dyDescent="0.25">
      <c r="A168" s="7" t="s">
        <v>102</v>
      </c>
    </row>
    <row r="169" spans="1:2" x14ac:dyDescent="0.25">
      <c r="A169" s="7"/>
    </row>
    <row r="170" spans="1:2" x14ac:dyDescent="0.25">
      <c r="A170" s="7" t="s">
        <v>103</v>
      </c>
    </row>
    <row r="171" spans="1:2" x14ac:dyDescent="0.25">
      <c r="A171" s="7"/>
    </row>
    <row r="172" spans="1:2" x14ac:dyDescent="0.25">
      <c r="A172" s="7" t="s">
        <v>104</v>
      </c>
    </row>
    <row r="173" spans="1:2" x14ac:dyDescent="0.25">
      <c r="A173" s="7"/>
    </row>
    <row r="174" spans="1:2" x14ac:dyDescent="0.25">
      <c r="A174" s="7" t="s">
        <v>105</v>
      </c>
    </row>
    <row r="175" spans="1:2" x14ac:dyDescent="0.25">
      <c r="A175" s="7"/>
    </row>
    <row r="176" spans="1:2" x14ac:dyDescent="0.25">
      <c r="A176" s="7" t="s">
        <v>106</v>
      </c>
    </row>
    <row r="177" spans="1:1" x14ac:dyDescent="0.25">
      <c r="A177" s="7"/>
    </row>
    <row r="178" spans="1:1" x14ac:dyDescent="0.25">
      <c r="A178" s="7" t="s">
        <v>107</v>
      </c>
    </row>
    <row r="179" spans="1:1" x14ac:dyDescent="0.25">
      <c r="A179" s="7"/>
    </row>
    <row r="180" spans="1:1" x14ac:dyDescent="0.25">
      <c r="A180" s="7" t="s">
        <v>108</v>
      </c>
    </row>
    <row r="184" spans="1:1" ht="23.25" x14ac:dyDescent="0.25">
      <c r="A184" s="9" t="s">
        <v>109</v>
      </c>
    </row>
    <row r="185" spans="1:1" x14ac:dyDescent="0.25">
      <c r="A185" s="7"/>
    </row>
    <row r="186" spans="1:1" x14ac:dyDescent="0.25">
      <c r="A186" s="7" t="s">
        <v>110</v>
      </c>
    </row>
    <row r="187" spans="1:1" x14ac:dyDescent="0.25">
      <c r="A187" s="7"/>
    </row>
    <row r="188" spans="1:1" x14ac:dyDescent="0.25">
      <c r="A188" s="7" t="s">
        <v>111</v>
      </c>
    </row>
    <row r="189" spans="1:1" x14ac:dyDescent="0.25">
      <c r="A189" s="7"/>
    </row>
    <row r="190" spans="1:1" x14ac:dyDescent="0.25">
      <c r="A190" s="7" t="s">
        <v>112</v>
      </c>
    </row>
    <row r="191" spans="1:1" x14ac:dyDescent="0.25">
      <c r="A191" s="7"/>
    </row>
    <row r="192" spans="1:1" x14ac:dyDescent="0.25">
      <c r="A192" s="7" t="s">
        <v>113</v>
      </c>
    </row>
    <row r="193" spans="1:1" x14ac:dyDescent="0.25">
      <c r="A193" s="7"/>
    </row>
    <row r="194" spans="1:1" x14ac:dyDescent="0.25">
      <c r="A194" s="7" t="s">
        <v>114</v>
      </c>
    </row>
    <row r="195" spans="1:1" x14ac:dyDescent="0.25">
      <c r="A195" s="7"/>
    </row>
    <row r="196" spans="1:1" x14ac:dyDescent="0.25">
      <c r="A196" s="7" t="s">
        <v>115</v>
      </c>
    </row>
    <row r="197" spans="1:1" x14ac:dyDescent="0.25">
      <c r="A197" s="7"/>
    </row>
    <row r="198" spans="1:1" x14ac:dyDescent="0.25">
      <c r="A198" s="7" t="s">
        <v>116</v>
      </c>
    </row>
    <row r="199" spans="1:1" x14ac:dyDescent="0.25">
      <c r="A199" s="7"/>
    </row>
    <row r="200" spans="1:1" x14ac:dyDescent="0.25">
      <c r="A200" s="7" t="s">
        <v>117</v>
      </c>
    </row>
    <row r="201" spans="1:1" x14ac:dyDescent="0.25">
      <c r="A201" s="7"/>
    </row>
    <row r="202" spans="1:1" x14ac:dyDescent="0.25">
      <c r="A202" s="7" t="s">
        <v>118</v>
      </c>
    </row>
    <row r="203" spans="1:1" x14ac:dyDescent="0.25">
      <c r="A203" s="7"/>
    </row>
    <row r="204" spans="1:1" x14ac:dyDescent="0.25">
      <c r="A204" s="7" t="s">
        <v>119</v>
      </c>
    </row>
    <row r="205" spans="1:1" x14ac:dyDescent="0.25">
      <c r="A205" s="7"/>
    </row>
    <row r="206" spans="1:1" x14ac:dyDescent="0.25">
      <c r="A206" s="7" t="s">
        <v>120</v>
      </c>
    </row>
    <row r="207" spans="1:1" x14ac:dyDescent="0.25">
      <c r="A207" s="7"/>
    </row>
    <row r="208" spans="1:1" x14ac:dyDescent="0.25">
      <c r="A208" s="7" t="s">
        <v>121</v>
      </c>
    </row>
    <row r="209" spans="1:1" x14ac:dyDescent="0.25">
      <c r="A209" s="7"/>
    </row>
    <row r="210" spans="1:1" x14ac:dyDescent="0.25">
      <c r="A210" s="7" t="s">
        <v>122</v>
      </c>
    </row>
    <row r="211" spans="1:1" x14ac:dyDescent="0.25">
      <c r="A211" s="7"/>
    </row>
    <row r="212" spans="1:1" x14ac:dyDescent="0.25">
      <c r="A212" s="7" t="s">
        <v>123</v>
      </c>
    </row>
    <row r="214" spans="1:1" x14ac:dyDescent="0.25">
      <c r="A214"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8"/>
  <sheetViews>
    <sheetView topLeftCell="F1" workbookViewId="0">
      <selection activeCell="N9" sqref="N9"/>
    </sheetView>
  </sheetViews>
  <sheetFormatPr defaultRowHeight="15" x14ac:dyDescent="0.25"/>
  <cols>
    <col min="1" max="1" width="13.140625" bestFit="1" customWidth="1"/>
    <col min="2" max="2" width="12.140625" bestFit="1" customWidth="1"/>
    <col min="3" max="3" width="15.42578125" bestFit="1" customWidth="1"/>
    <col min="4" max="4" width="18" bestFit="1" customWidth="1"/>
    <col min="5" max="5" width="26" bestFit="1" customWidth="1"/>
    <col min="7" max="7" width="33.7109375" customWidth="1"/>
    <col min="10" max="10" width="13.140625" customWidth="1"/>
    <col min="11" max="11" width="12.140625" bestFit="1" customWidth="1"/>
    <col min="13" max="13" width="13.140625" customWidth="1"/>
    <col min="14" max="14" width="18" customWidth="1"/>
    <col min="15" max="15" width="12.140625" customWidth="1"/>
    <col min="16" max="24" width="16.28515625" bestFit="1" customWidth="1"/>
    <col min="25" max="25" width="11.28515625" bestFit="1" customWidth="1"/>
  </cols>
  <sheetData>
    <row r="1" spans="1:14" x14ac:dyDescent="0.25">
      <c r="J1" s="23" t="s">
        <v>192</v>
      </c>
      <c r="K1" s="23"/>
      <c r="M1" s="23" t="s">
        <v>190</v>
      </c>
      <c r="N1" s="23"/>
    </row>
    <row r="2" spans="1:14" x14ac:dyDescent="0.25">
      <c r="J2" s="16" t="s">
        <v>215</v>
      </c>
      <c r="K2" t="s">
        <v>216</v>
      </c>
      <c r="M2" s="16" t="s">
        <v>215</v>
      </c>
      <c r="N2" t="s">
        <v>216</v>
      </c>
    </row>
    <row r="3" spans="1:14" x14ac:dyDescent="0.25">
      <c r="J3" s="17" t="s">
        <v>17</v>
      </c>
      <c r="K3" s="18">
        <v>265646</v>
      </c>
      <c r="M3" s="17" t="s">
        <v>25</v>
      </c>
      <c r="N3" s="18">
        <v>200498</v>
      </c>
    </row>
    <row r="4" spans="1:14" x14ac:dyDescent="0.25">
      <c r="J4" s="17" t="s">
        <v>23</v>
      </c>
      <c r="K4" s="18">
        <v>258857</v>
      </c>
      <c r="M4" s="17" t="s">
        <v>16</v>
      </c>
      <c r="N4" s="18">
        <v>184987</v>
      </c>
    </row>
    <row r="5" spans="1:14" x14ac:dyDescent="0.25">
      <c r="J5" s="17" t="s">
        <v>12</v>
      </c>
      <c r="K5" s="18">
        <v>216639</v>
      </c>
      <c r="M5" s="17" t="s">
        <v>28</v>
      </c>
      <c r="N5" s="18">
        <v>179018</v>
      </c>
    </row>
    <row r="6" spans="1:14" x14ac:dyDescent="0.25">
      <c r="J6" s="17" t="s">
        <v>214</v>
      </c>
      <c r="K6" s="18">
        <v>741142</v>
      </c>
      <c r="M6" s="17" t="s">
        <v>11</v>
      </c>
      <c r="N6" s="18">
        <v>176639</v>
      </c>
    </row>
    <row r="7" spans="1:14" x14ac:dyDescent="0.25">
      <c r="A7" s="16" t="s">
        <v>215</v>
      </c>
      <c r="B7" t="s">
        <v>216</v>
      </c>
      <c r="C7" t="s">
        <v>217</v>
      </c>
      <c r="D7" t="s">
        <v>218</v>
      </c>
      <c r="E7" t="s">
        <v>220</v>
      </c>
      <c r="M7" s="17" t="s">
        <v>214</v>
      </c>
      <c r="N7" s="18">
        <v>741142</v>
      </c>
    </row>
    <row r="8" spans="1:14" ht="23.25" x14ac:dyDescent="0.25">
      <c r="A8" s="17">
        <v>1001</v>
      </c>
      <c r="B8" s="18">
        <v>1584</v>
      </c>
      <c r="C8" s="18">
        <v>9</v>
      </c>
      <c r="D8" s="18">
        <v>1951</v>
      </c>
      <c r="E8" s="20">
        <v>0.81189133777549971</v>
      </c>
      <c r="G8" s="9" t="s">
        <v>39</v>
      </c>
      <c r="J8" s="23" t="s">
        <v>193</v>
      </c>
      <c r="K8" s="23"/>
      <c r="M8" s="23" t="s">
        <v>221</v>
      </c>
      <c r="N8" s="23"/>
    </row>
    <row r="9" spans="1:14" x14ac:dyDescent="0.25">
      <c r="A9" s="17">
        <v>1002</v>
      </c>
      <c r="B9" s="18">
        <v>3645</v>
      </c>
      <c r="C9" s="18">
        <v>9</v>
      </c>
      <c r="D9" s="18">
        <v>3523</v>
      </c>
      <c r="E9" s="20">
        <v>1.0346295770650014</v>
      </c>
      <c r="G9" s="7"/>
      <c r="J9" s="16" t="s">
        <v>215</v>
      </c>
      <c r="K9" t="s">
        <v>216</v>
      </c>
      <c r="M9" s="16" t="s">
        <v>215</v>
      </c>
      <c r="N9" t="s">
        <v>216</v>
      </c>
    </row>
    <row r="10" spans="1:14" x14ac:dyDescent="0.25">
      <c r="A10" s="17">
        <v>1003</v>
      </c>
      <c r="B10" s="18">
        <v>304</v>
      </c>
      <c r="C10" s="18">
        <v>2</v>
      </c>
      <c r="D10" s="18">
        <v>373</v>
      </c>
      <c r="E10" s="20">
        <v>0.81501340482573725</v>
      </c>
      <c r="G10" s="7" t="s">
        <v>40</v>
      </c>
      <c r="H10">
        <f>B508</f>
        <v>741142</v>
      </c>
      <c r="J10" s="17" t="s">
        <v>30</v>
      </c>
      <c r="K10" s="18">
        <v>97579</v>
      </c>
      <c r="M10" s="17" t="s">
        <v>14</v>
      </c>
      <c r="N10" s="18">
        <v>139218</v>
      </c>
    </row>
    <row r="11" spans="1:14" x14ac:dyDescent="0.25">
      <c r="A11" s="17">
        <v>1004</v>
      </c>
      <c r="B11" s="18">
        <v>4940</v>
      </c>
      <c r="C11" s="18">
        <v>10</v>
      </c>
      <c r="D11" s="18">
        <v>5312</v>
      </c>
      <c r="E11" s="20">
        <v>0.92996987951807231</v>
      </c>
      <c r="G11" s="7"/>
      <c r="J11" s="17" t="s">
        <v>24</v>
      </c>
      <c r="K11" s="18">
        <v>94695</v>
      </c>
      <c r="M11" s="17" t="s">
        <v>32</v>
      </c>
      <c r="N11" s="18">
        <v>131739</v>
      </c>
    </row>
    <row r="12" spans="1:14" x14ac:dyDescent="0.25">
      <c r="A12" s="17">
        <v>1005</v>
      </c>
      <c r="B12" s="18">
        <v>1602</v>
      </c>
      <c r="C12" s="18">
        <v>9</v>
      </c>
      <c r="D12" s="18">
        <v>1745</v>
      </c>
      <c r="E12" s="20">
        <v>0.9180515759312321</v>
      </c>
      <c r="G12" s="7" t="s">
        <v>41</v>
      </c>
      <c r="H12">
        <f>A508</f>
        <v>500</v>
      </c>
      <c r="J12" s="17" t="s">
        <v>27</v>
      </c>
      <c r="K12" s="18">
        <v>85125</v>
      </c>
      <c r="M12" s="17" t="s">
        <v>29</v>
      </c>
      <c r="N12" s="18">
        <v>124002</v>
      </c>
    </row>
    <row r="13" spans="1:14" x14ac:dyDescent="0.25">
      <c r="A13" s="17">
        <v>1006</v>
      </c>
      <c r="B13" s="18">
        <v>1192</v>
      </c>
      <c r="C13" s="18">
        <v>4</v>
      </c>
      <c r="D13" s="18">
        <v>1418</v>
      </c>
      <c r="E13" s="20">
        <v>0.84062059238363895</v>
      </c>
      <c r="G13" s="7"/>
      <c r="J13" s="17" t="s">
        <v>35</v>
      </c>
      <c r="K13" s="18">
        <v>83864</v>
      </c>
      <c r="M13" s="17" t="s">
        <v>31</v>
      </c>
      <c r="N13" s="18">
        <v>123689</v>
      </c>
    </row>
    <row r="14" spans="1:14" x14ac:dyDescent="0.25">
      <c r="A14" s="17">
        <v>1007</v>
      </c>
      <c r="B14" s="18">
        <v>1352</v>
      </c>
      <c r="C14" s="18">
        <v>4</v>
      </c>
      <c r="D14" s="18">
        <v>1207</v>
      </c>
      <c r="E14" s="20">
        <v>1.1201325600662799</v>
      </c>
      <c r="G14" s="7" t="s">
        <v>42</v>
      </c>
      <c r="H14">
        <f>C508</f>
        <v>2797</v>
      </c>
      <c r="J14" s="17" t="s">
        <v>18</v>
      </c>
      <c r="K14" s="18">
        <v>82942</v>
      </c>
      <c r="M14" s="17" t="s">
        <v>19</v>
      </c>
      <c r="N14" s="18">
        <v>117984</v>
      </c>
    </row>
    <row r="15" spans="1:14" x14ac:dyDescent="0.25">
      <c r="A15" s="17">
        <v>1008</v>
      </c>
      <c r="B15" s="18">
        <v>2639</v>
      </c>
      <c r="C15" s="18">
        <v>7</v>
      </c>
      <c r="D15" s="18">
        <v>2874</v>
      </c>
      <c r="E15" s="20">
        <v>0.91823242867084198</v>
      </c>
      <c r="G15" s="7"/>
      <c r="J15" s="17" t="s">
        <v>26</v>
      </c>
      <c r="K15" s="18">
        <v>80298</v>
      </c>
      <c r="M15" s="17" t="s">
        <v>22</v>
      </c>
      <c r="N15" s="18">
        <v>104510</v>
      </c>
    </row>
    <row r="16" spans="1:14" x14ac:dyDescent="0.25">
      <c r="A16" s="17">
        <v>1009</v>
      </c>
      <c r="B16" s="18">
        <v>3262</v>
      </c>
      <c r="C16" s="18">
        <v>7</v>
      </c>
      <c r="D16" s="18">
        <v>4014</v>
      </c>
      <c r="E16" s="20">
        <v>0.8126557050323866</v>
      </c>
      <c r="G16" s="7" t="s">
        <v>43</v>
      </c>
      <c r="H16">
        <f>H10/H12</f>
        <v>1482.2840000000001</v>
      </c>
      <c r="J16" s="17" t="s">
        <v>34</v>
      </c>
      <c r="K16" s="18">
        <v>58814</v>
      </c>
      <c r="M16" s="17" t="s">
        <v>214</v>
      </c>
      <c r="N16" s="18">
        <v>741142</v>
      </c>
    </row>
    <row r="17" spans="1:15" x14ac:dyDescent="0.25">
      <c r="A17" s="17">
        <v>1010</v>
      </c>
      <c r="B17" s="18">
        <v>469</v>
      </c>
      <c r="C17" s="18">
        <v>1</v>
      </c>
      <c r="D17" s="18">
        <v>516</v>
      </c>
      <c r="E17" s="20">
        <v>0.90891472868217049</v>
      </c>
      <c r="G17" s="7"/>
      <c r="J17" s="17" t="s">
        <v>33</v>
      </c>
      <c r="K17" s="18">
        <v>56455</v>
      </c>
    </row>
    <row r="18" spans="1:15" x14ac:dyDescent="0.25">
      <c r="A18" s="17">
        <v>1011</v>
      </c>
      <c r="B18" s="18">
        <v>1000</v>
      </c>
      <c r="C18" s="18">
        <v>4</v>
      </c>
      <c r="D18" s="18">
        <v>1115</v>
      </c>
      <c r="E18" s="20">
        <v>0.89686098654708524</v>
      </c>
      <c r="G18" s="7" t="s">
        <v>44</v>
      </c>
      <c r="H18">
        <f>D508</f>
        <v>778118</v>
      </c>
      <c r="J18" s="17" t="s">
        <v>13</v>
      </c>
      <c r="K18" s="18">
        <v>55934</v>
      </c>
    </row>
    <row r="19" spans="1:15" x14ac:dyDescent="0.25">
      <c r="A19" s="17">
        <v>1012</v>
      </c>
      <c r="B19" s="18">
        <v>317</v>
      </c>
      <c r="C19" s="18">
        <v>1</v>
      </c>
      <c r="D19" s="18">
        <v>265</v>
      </c>
      <c r="E19" s="20">
        <v>1.1962264150943396</v>
      </c>
      <c r="G19" s="7"/>
      <c r="J19" s="17" t="s">
        <v>21</v>
      </c>
      <c r="K19" s="18">
        <v>45436</v>
      </c>
    </row>
    <row r="20" spans="1:15" x14ac:dyDescent="0.25">
      <c r="A20" s="17">
        <v>1013</v>
      </c>
      <c r="B20" s="18">
        <v>2350</v>
      </c>
      <c r="C20" s="18">
        <v>10</v>
      </c>
      <c r="D20" s="18">
        <v>2188</v>
      </c>
      <c r="E20" s="20">
        <v>1.0740402193784278</v>
      </c>
      <c r="G20" s="7" t="s">
        <v>45</v>
      </c>
      <c r="H20" s="20">
        <f>E508</f>
        <v>484.56253240357165</v>
      </c>
      <c r="J20" s="17" t="s">
        <v>214</v>
      </c>
      <c r="K20" s="18">
        <v>741142</v>
      </c>
    </row>
    <row r="21" spans="1:15" x14ac:dyDescent="0.25">
      <c r="A21" s="17">
        <v>1014</v>
      </c>
      <c r="B21" s="18">
        <v>2400</v>
      </c>
      <c r="C21" s="18">
        <v>6</v>
      </c>
      <c r="D21" s="18">
        <v>2323</v>
      </c>
      <c r="E21" s="20">
        <v>1.0331467929401636</v>
      </c>
      <c r="G21" s="7"/>
    </row>
    <row r="22" spans="1:15" x14ac:dyDescent="0.25">
      <c r="A22" s="17">
        <v>1015</v>
      </c>
      <c r="B22" s="18">
        <v>464</v>
      </c>
      <c r="C22" s="18">
        <v>1</v>
      </c>
      <c r="D22" s="18">
        <v>522</v>
      </c>
      <c r="E22" s="20">
        <v>0.88888888888888884</v>
      </c>
      <c r="G22" s="7"/>
      <c r="J22" s="23" t="s">
        <v>222</v>
      </c>
      <c r="K22" s="23"/>
      <c r="M22" s="23" t="s">
        <v>55</v>
      </c>
      <c r="N22" s="23"/>
      <c r="O22" s="23"/>
    </row>
    <row r="23" spans="1:15" x14ac:dyDescent="0.25">
      <c r="A23" s="17">
        <v>1016</v>
      </c>
      <c r="B23" s="18">
        <v>948</v>
      </c>
      <c r="C23" s="18">
        <v>6</v>
      </c>
      <c r="D23" s="18">
        <v>977</v>
      </c>
      <c r="E23" s="20">
        <v>0.97031729785056298</v>
      </c>
      <c r="G23" s="10"/>
      <c r="J23" s="16" t="s">
        <v>215</v>
      </c>
      <c r="K23" t="s">
        <v>216</v>
      </c>
      <c r="M23" s="16" t="s">
        <v>215</v>
      </c>
      <c r="N23" t="s">
        <v>218</v>
      </c>
      <c r="O23" t="s">
        <v>216</v>
      </c>
    </row>
    <row r="24" spans="1:15" x14ac:dyDescent="0.25">
      <c r="A24" s="17">
        <v>1017</v>
      </c>
      <c r="B24" s="18">
        <v>2290</v>
      </c>
      <c r="C24" s="18">
        <v>10</v>
      </c>
      <c r="D24" s="18">
        <v>2166</v>
      </c>
      <c r="E24" s="20">
        <v>1.0572483841181901</v>
      </c>
      <c r="G24" s="10" t="s">
        <v>46</v>
      </c>
      <c r="J24" s="17" t="s">
        <v>236</v>
      </c>
      <c r="K24" s="18"/>
      <c r="M24" s="17" t="s">
        <v>236</v>
      </c>
      <c r="N24" s="18"/>
      <c r="O24" s="18"/>
    </row>
    <row r="25" spans="1:15" x14ac:dyDescent="0.25">
      <c r="A25" s="17">
        <v>1018</v>
      </c>
      <c r="B25" s="18">
        <v>324</v>
      </c>
      <c r="C25" s="18">
        <v>4</v>
      </c>
      <c r="D25" s="18">
        <v>377</v>
      </c>
      <c r="E25" s="20">
        <v>0.85941644562334218</v>
      </c>
      <c r="G25" s="11" t="s">
        <v>47</v>
      </c>
      <c r="J25" s="22" t="s">
        <v>223</v>
      </c>
      <c r="K25" s="18">
        <v>81318</v>
      </c>
      <c r="M25" s="22" t="s">
        <v>223</v>
      </c>
      <c r="N25" s="18">
        <v>87431</v>
      </c>
      <c r="O25" s="18">
        <v>81318</v>
      </c>
    </row>
    <row r="26" spans="1:15" x14ac:dyDescent="0.25">
      <c r="A26" s="17">
        <v>1019</v>
      </c>
      <c r="B26" s="18">
        <v>396</v>
      </c>
      <c r="C26" s="18">
        <v>3</v>
      </c>
      <c r="D26" s="18">
        <v>448</v>
      </c>
      <c r="E26" s="20">
        <v>0.8839285714285714</v>
      </c>
      <c r="G26" s="7"/>
      <c r="J26" s="22" t="s">
        <v>224</v>
      </c>
      <c r="K26" s="18">
        <v>56266</v>
      </c>
      <c r="M26" s="22" t="s">
        <v>224</v>
      </c>
      <c r="N26" s="18">
        <v>58810</v>
      </c>
      <c r="O26" s="18">
        <v>56266</v>
      </c>
    </row>
    <row r="27" spans="1:15" x14ac:dyDescent="0.25">
      <c r="A27" s="17">
        <v>1020</v>
      </c>
      <c r="B27" s="18">
        <v>132</v>
      </c>
      <c r="C27" s="18">
        <v>3</v>
      </c>
      <c r="D27" s="18">
        <v>151</v>
      </c>
      <c r="E27" s="20">
        <v>0.8741721854304636</v>
      </c>
      <c r="G27" s="7" t="s">
        <v>48</v>
      </c>
      <c r="H27" t="str">
        <f>M3</f>
        <v>North</v>
      </c>
      <c r="J27" s="22" t="s">
        <v>225</v>
      </c>
      <c r="K27" s="18">
        <v>62195</v>
      </c>
      <c r="M27" s="22" t="s">
        <v>225</v>
      </c>
      <c r="N27" s="18">
        <v>65130</v>
      </c>
      <c r="O27" s="18">
        <v>62195</v>
      </c>
    </row>
    <row r="28" spans="1:15" x14ac:dyDescent="0.25">
      <c r="A28" s="17">
        <v>1021</v>
      </c>
      <c r="B28" s="18">
        <v>247</v>
      </c>
      <c r="C28" s="18">
        <v>1</v>
      </c>
      <c r="D28" s="18">
        <v>301</v>
      </c>
      <c r="E28" s="20">
        <v>0.82059800664451832</v>
      </c>
      <c r="G28" s="7"/>
      <c r="J28" s="22" t="s">
        <v>226</v>
      </c>
      <c r="K28" s="18">
        <v>42440</v>
      </c>
      <c r="M28" s="22" t="s">
        <v>226</v>
      </c>
      <c r="N28" s="18">
        <v>45214</v>
      </c>
      <c r="O28" s="18">
        <v>42440</v>
      </c>
    </row>
    <row r="29" spans="1:15" x14ac:dyDescent="0.25">
      <c r="A29" s="17">
        <v>1022</v>
      </c>
      <c r="B29" s="18">
        <v>2415</v>
      </c>
      <c r="C29" s="18">
        <v>5</v>
      </c>
      <c r="D29" s="18">
        <v>2528</v>
      </c>
      <c r="E29" s="20">
        <v>0.95530063291139244</v>
      </c>
      <c r="G29" s="7" t="s">
        <v>49</v>
      </c>
      <c r="H29" t="str">
        <f>J3</f>
        <v>Furniture</v>
      </c>
      <c r="J29" s="22" t="s">
        <v>227</v>
      </c>
      <c r="K29" s="18">
        <v>57361</v>
      </c>
      <c r="M29" s="22" t="s">
        <v>227</v>
      </c>
      <c r="N29" s="18">
        <v>60072</v>
      </c>
      <c r="O29" s="18">
        <v>57361</v>
      </c>
    </row>
    <row r="30" spans="1:15" x14ac:dyDescent="0.25">
      <c r="A30" s="17">
        <v>1023</v>
      </c>
      <c r="B30" s="18">
        <v>666</v>
      </c>
      <c r="C30" s="18">
        <v>9</v>
      </c>
      <c r="D30" s="18">
        <v>547</v>
      </c>
      <c r="E30" s="20">
        <v>1.2175502742230346</v>
      </c>
      <c r="G30" s="7"/>
      <c r="J30" s="22" t="s">
        <v>228</v>
      </c>
      <c r="K30" s="18">
        <v>57984</v>
      </c>
      <c r="M30" s="22" t="s">
        <v>228</v>
      </c>
      <c r="N30" s="18">
        <v>59156</v>
      </c>
      <c r="O30" s="18">
        <v>57984</v>
      </c>
    </row>
    <row r="31" spans="1:15" x14ac:dyDescent="0.25">
      <c r="A31" s="17">
        <v>1024</v>
      </c>
      <c r="B31" s="18">
        <v>1179</v>
      </c>
      <c r="C31" s="18">
        <v>9</v>
      </c>
      <c r="D31" s="18">
        <v>1305</v>
      </c>
      <c r="E31" s="20">
        <v>0.90344827586206899</v>
      </c>
      <c r="G31" s="7" t="s">
        <v>50</v>
      </c>
      <c r="H31" t="str">
        <f>J10</f>
        <v>Cabinet</v>
      </c>
      <c r="J31" s="22" t="s">
        <v>229</v>
      </c>
      <c r="K31" s="18">
        <v>57873</v>
      </c>
      <c r="M31" s="22" t="s">
        <v>229</v>
      </c>
      <c r="N31" s="18">
        <v>59838</v>
      </c>
      <c r="O31" s="18">
        <v>57873</v>
      </c>
    </row>
    <row r="32" spans="1:15" x14ac:dyDescent="0.25">
      <c r="A32" s="17">
        <v>1025</v>
      </c>
      <c r="B32" s="18">
        <v>3479</v>
      </c>
      <c r="C32" s="18">
        <v>7</v>
      </c>
      <c r="D32" s="18">
        <v>4502</v>
      </c>
      <c r="E32" s="20">
        <v>0.772767658818303</v>
      </c>
      <c r="G32" s="7"/>
      <c r="J32" s="22" t="s">
        <v>230</v>
      </c>
      <c r="K32" s="18">
        <v>76696</v>
      </c>
      <c r="M32" s="22" t="s">
        <v>230</v>
      </c>
      <c r="N32" s="18">
        <v>83232</v>
      </c>
      <c r="O32" s="18">
        <v>76696</v>
      </c>
    </row>
    <row r="33" spans="1:15" x14ac:dyDescent="0.25">
      <c r="A33" s="17">
        <v>1026</v>
      </c>
      <c r="B33" s="18">
        <v>4041</v>
      </c>
      <c r="C33" s="18">
        <v>9</v>
      </c>
      <c r="D33" s="18">
        <v>4013</v>
      </c>
      <c r="E33" s="20">
        <v>1.0069773236979815</v>
      </c>
      <c r="G33" s="7" t="s">
        <v>51</v>
      </c>
      <c r="J33" s="22" t="s">
        <v>231</v>
      </c>
      <c r="K33" s="18">
        <v>76886</v>
      </c>
      <c r="M33" s="22" t="s">
        <v>231</v>
      </c>
      <c r="N33" s="18">
        <v>82888</v>
      </c>
      <c r="O33" s="18">
        <v>76886</v>
      </c>
    </row>
    <row r="34" spans="1:15" x14ac:dyDescent="0.25">
      <c r="A34" s="17">
        <v>1027</v>
      </c>
      <c r="B34" s="18">
        <v>1505</v>
      </c>
      <c r="C34" s="18">
        <v>5</v>
      </c>
      <c r="D34" s="18">
        <v>1420</v>
      </c>
      <c r="E34" s="20">
        <v>1.0598591549295775</v>
      </c>
      <c r="J34" s="22" t="s">
        <v>232</v>
      </c>
      <c r="K34" s="18">
        <v>55092</v>
      </c>
      <c r="M34" s="22" t="s">
        <v>232</v>
      </c>
      <c r="N34" s="18">
        <v>57929</v>
      </c>
      <c r="O34" s="18">
        <v>55092</v>
      </c>
    </row>
    <row r="35" spans="1:15" x14ac:dyDescent="0.25">
      <c r="A35" s="17">
        <v>1028</v>
      </c>
      <c r="B35" s="18">
        <v>4212</v>
      </c>
      <c r="C35" s="18">
        <v>9</v>
      </c>
      <c r="D35" s="18">
        <v>3436</v>
      </c>
      <c r="E35" s="20">
        <v>1.2258440046565775</v>
      </c>
      <c r="J35" s="22" t="s">
        <v>233</v>
      </c>
      <c r="K35" s="18">
        <v>58775</v>
      </c>
      <c r="M35" s="22" t="s">
        <v>233</v>
      </c>
      <c r="N35" s="18">
        <v>57992</v>
      </c>
      <c r="O35" s="18">
        <v>58775</v>
      </c>
    </row>
    <row r="36" spans="1:15" x14ac:dyDescent="0.25">
      <c r="A36" s="17">
        <v>1029</v>
      </c>
      <c r="B36" s="18">
        <v>202</v>
      </c>
      <c r="C36" s="18">
        <v>2</v>
      </c>
      <c r="D36" s="18">
        <v>237</v>
      </c>
      <c r="E36" s="20">
        <v>0.85232067510548526</v>
      </c>
      <c r="J36" s="22" t="s">
        <v>234</v>
      </c>
      <c r="K36" s="18">
        <v>58256</v>
      </c>
      <c r="M36" s="22" t="s">
        <v>234</v>
      </c>
      <c r="N36" s="18">
        <v>60426</v>
      </c>
      <c r="O36" s="18">
        <v>58256</v>
      </c>
    </row>
    <row r="37" spans="1:15" ht="23.25" x14ac:dyDescent="0.25">
      <c r="A37" s="17">
        <v>1030</v>
      </c>
      <c r="B37" s="18">
        <v>2502</v>
      </c>
      <c r="C37" s="18">
        <v>6</v>
      </c>
      <c r="D37" s="18">
        <v>2759</v>
      </c>
      <c r="E37" s="20">
        <v>0.90685030808263867</v>
      </c>
      <c r="G37" s="9" t="s">
        <v>52</v>
      </c>
      <c r="J37" s="17" t="s">
        <v>214</v>
      </c>
      <c r="K37" s="18">
        <v>741142</v>
      </c>
      <c r="M37" s="17" t="s">
        <v>214</v>
      </c>
      <c r="N37" s="18">
        <v>778118</v>
      </c>
      <c r="O37" s="18">
        <v>741142</v>
      </c>
    </row>
    <row r="38" spans="1:15" x14ac:dyDescent="0.25">
      <c r="A38" s="17">
        <v>1031</v>
      </c>
      <c r="B38" s="18">
        <v>2457</v>
      </c>
      <c r="C38" s="18">
        <v>7</v>
      </c>
      <c r="D38" s="18">
        <v>2004</v>
      </c>
      <c r="E38" s="20">
        <v>1.2260479041916168</v>
      </c>
    </row>
    <row r="39" spans="1:15" x14ac:dyDescent="0.25">
      <c r="A39" s="17">
        <v>1032</v>
      </c>
      <c r="B39" s="18">
        <v>2850</v>
      </c>
      <c r="C39" s="18">
        <v>6</v>
      </c>
      <c r="D39" s="18">
        <v>2432</v>
      </c>
      <c r="E39" s="20">
        <v>1.171875</v>
      </c>
      <c r="G39" t="s">
        <v>53</v>
      </c>
      <c r="J39" s="23" t="s">
        <v>235</v>
      </c>
      <c r="K39" s="23"/>
    </row>
    <row r="40" spans="1:15" x14ac:dyDescent="0.25">
      <c r="A40" s="17">
        <v>1033</v>
      </c>
      <c r="B40" s="18">
        <v>2954</v>
      </c>
      <c r="C40" s="18">
        <v>7</v>
      </c>
      <c r="D40" s="18">
        <v>2466</v>
      </c>
      <c r="E40" s="20">
        <v>1.1978913219789131</v>
      </c>
      <c r="G40" s="7"/>
      <c r="J40" s="16" t="s">
        <v>215</v>
      </c>
      <c r="K40" t="s">
        <v>216</v>
      </c>
      <c r="M40" s="23" t="s">
        <v>57</v>
      </c>
      <c r="N40" s="23"/>
    </row>
    <row r="41" spans="1:15" x14ac:dyDescent="0.25">
      <c r="A41" s="17">
        <v>1034</v>
      </c>
      <c r="B41" s="18">
        <v>1835</v>
      </c>
      <c r="C41" s="18">
        <v>5</v>
      </c>
      <c r="D41" s="18">
        <v>1615</v>
      </c>
      <c r="E41" s="20">
        <v>1.1362229102167183</v>
      </c>
      <c r="G41" s="7" t="s">
        <v>54</v>
      </c>
      <c r="J41" s="17" t="s">
        <v>236</v>
      </c>
      <c r="K41" s="18"/>
      <c r="M41" s="16" t="s">
        <v>215</v>
      </c>
      <c r="N41" t="s">
        <v>217</v>
      </c>
    </row>
    <row r="42" spans="1:15" x14ac:dyDescent="0.25">
      <c r="A42" s="17">
        <v>1035</v>
      </c>
      <c r="B42" s="18">
        <v>1785</v>
      </c>
      <c r="C42" s="18">
        <v>5</v>
      </c>
      <c r="D42" s="18">
        <v>1919</v>
      </c>
      <c r="E42" s="20">
        <v>0.9301719645648775</v>
      </c>
      <c r="G42" s="7"/>
      <c r="J42" s="22" t="s">
        <v>223</v>
      </c>
      <c r="K42" s="18">
        <v>81318</v>
      </c>
      <c r="M42" s="17" t="s">
        <v>236</v>
      </c>
      <c r="N42" s="18"/>
    </row>
    <row r="43" spans="1:15" x14ac:dyDescent="0.25">
      <c r="A43" s="17">
        <v>1036</v>
      </c>
      <c r="B43" s="18">
        <v>708</v>
      </c>
      <c r="C43" s="18">
        <v>6</v>
      </c>
      <c r="D43" s="18">
        <v>804</v>
      </c>
      <c r="E43" s="20">
        <v>0.88059701492537312</v>
      </c>
      <c r="G43" s="7" t="s">
        <v>55</v>
      </c>
      <c r="J43" s="22" t="s">
        <v>224</v>
      </c>
      <c r="K43" s="18">
        <v>56266</v>
      </c>
      <c r="M43" s="22" t="s">
        <v>223</v>
      </c>
      <c r="N43" s="18">
        <v>329</v>
      </c>
    </row>
    <row r="44" spans="1:15" x14ac:dyDescent="0.25">
      <c r="A44" s="17">
        <v>1037</v>
      </c>
      <c r="B44" s="18">
        <v>26</v>
      </c>
      <c r="C44" s="18">
        <v>2</v>
      </c>
      <c r="D44" s="18">
        <v>32</v>
      </c>
      <c r="E44" s="20">
        <v>0.8125</v>
      </c>
      <c r="G44" s="7"/>
      <c r="J44" s="22" t="s">
        <v>225</v>
      </c>
      <c r="K44" s="18">
        <v>62195</v>
      </c>
      <c r="M44" s="22" t="s">
        <v>224</v>
      </c>
      <c r="N44" s="18">
        <v>207</v>
      </c>
    </row>
    <row r="45" spans="1:15" x14ac:dyDescent="0.25">
      <c r="A45" s="17">
        <v>1038</v>
      </c>
      <c r="B45" s="18">
        <v>1612</v>
      </c>
      <c r="C45" s="18">
        <v>4</v>
      </c>
      <c r="D45" s="18">
        <v>1598</v>
      </c>
      <c r="E45" s="20">
        <v>1.0087609511889863</v>
      </c>
      <c r="G45" s="7" t="s">
        <v>56</v>
      </c>
      <c r="J45" s="22" t="s">
        <v>226</v>
      </c>
      <c r="K45" s="18">
        <v>42440</v>
      </c>
      <c r="M45" s="22" t="s">
        <v>225</v>
      </c>
      <c r="N45" s="18">
        <v>220</v>
      </c>
    </row>
    <row r="46" spans="1:15" x14ac:dyDescent="0.25">
      <c r="A46" s="17">
        <v>1039</v>
      </c>
      <c r="B46" s="18">
        <v>2724</v>
      </c>
      <c r="C46" s="18">
        <v>6</v>
      </c>
      <c r="D46" s="18">
        <v>3441</v>
      </c>
      <c r="E46" s="20">
        <v>0.79163034001743682</v>
      </c>
      <c r="G46" s="7"/>
      <c r="J46" s="22" t="s">
        <v>227</v>
      </c>
      <c r="K46" s="18">
        <v>57361</v>
      </c>
      <c r="M46" s="22" t="s">
        <v>226</v>
      </c>
      <c r="N46" s="18">
        <v>182</v>
      </c>
    </row>
    <row r="47" spans="1:15" x14ac:dyDescent="0.25">
      <c r="A47" s="17">
        <v>1040</v>
      </c>
      <c r="B47" s="18">
        <v>1580</v>
      </c>
      <c r="C47" s="18">
        <v>5</v>
      </c>
      <c r="D47" s="18">
        <v>1532</v>
      </c>
      <c r="E47" s="20">
        <v>1.031331592689295</v>
      </c>
      <c r="G47" s="7" t="s">
        <v>57</v>
      </c>
      <c r="J47" s="22" t="s">
        <v>228</v>
      </c>
      <c r="K47" s="18">
        <v>57984</v>
      </c>
      <c r="M47" s="22" t="s">
        <v>227</v>
      </c>
      <c r="N47" s="18">
        <v>195</v>
      </c>
    </row>
    <row r="48" spans="1:15" x14ac:dyDescent="0.25">
      <c r="A48" s="17">
        <v>1041</v>
      </c>
      <c r="B48" s="18">
        <v>2436</v>
      </c>
      <c r="C48" s="18">
        <v>6</v>
      </c>
      <c r="D48" s="18">
        <v>2889</v>
      </c>
      <c r="E48" s="20">
        <v>0.84319833852544135</v>
      </c>
      <c r="J48" s="22" t="s">
        <v>229</v>
      </c>
      <c r="K48" s="18">
        <v>57873</v>
      </c>
      <c r="M48" s="22" t="s">
        <v>228</v>
      </c>
      <c r="N48" s="18">
        <v>191</v>
      </c>
    </row>
    <row r="49" spans="1:14" x14ac:dyDescent="0.25">
      <c r="A49" s="17">
        <v>1042</v>
      </c>
      <c r="B49" s="18">
        <v>2632</v>
      </c>
      <c r="C49" s="18">
        <v>7</v>
      </c>
      <c r="D49" s="18">
        <v>2363</v>
      </c>
      <c r="E49" s="20">
        <v>1.1138383410918324</v>
      </c>
      <c r="J49" s="22" t="s">
        <v>230</v>
      </c>
      <c r="K49" s="18">
        <v>76696</v>
      </c>
      <c r="M49" s="22" t="s">
        <v>229</v>
      </c>
      <c r="N49" s="18">
        <v>238</v>
      </c>
    </row>
    <row r="50" spans="1:14" x14ac:dyDescent="0.25">
      <c r="A50" s="17">
        <v>1043</v>
      </c>
      <c r="B50" s="18">
        <v>3017</v>
      </c>
      <c r="C50" s="18">
        <v>7</v>
      </c>
      <c r="D50" s="18">
        <v>3911</v>
      </c>
      <c r="E50" s="20">
        <v>0.77141396062388135</v>
      </c>
      <c r="J50" s="22" t="s">
        <v>231</v>
      </c>
      <c r="K50" s="18">
        <v>76886</v>
      </c>
      <c r="M50" s="22" t="s">
        <v>230</v>
      </c>
      <c r="N50" s="18">
        <v>254</v>
      </c>
    </row>
    <row r="51" spans="1:14" x14ac:dyDescent="0.25">
      <c r="A51" s="17">
        <v>1044</v>
      </c>
      <c r="B51" s="18">
        <v>396</v>
      </c>
      <c r="C51" s="18">
        <v>9</v>
      </c>
      <c r="D51" s="18">
        <v>508</v>
      </c>
      <c r="E51" s="20">
        <v>0.77952755905511806</v>
      </c>
      <c r="J51" s="22" t="s">
        <v>232</v>
      </c>
      <c r="K51" s="18">
        <v>55092</v>
      </c>
      <c r="M51" s="22" t="s">
        <v>231</v>
      </c>
      <c r="N51" s="18">
        <v>271</v>
      </c>
    </row>
    <row r="52" spans="1:14" x14ac:dyDescent="0.25">
      <c r="A52" s="17">
        <v>1045</v>
      </c>
      <c r="B52" s="18">
        <v>1160</v>
      </c>
      <c r="C52" s="18">
        <v>8</v>
      </c>
      <c r="D52" s="18">
        <v>1293</v>
      </c>
      <c r="E52" s="20">
        <v>0.897138437741686</v>
      </c>
      <c r="J52" s="22" t="s">
        <v>233</v>
      </c>
      <c r="K52" s="18">
        <v>58775</v>
      </c>
      <c r="M52" s="22" t="s">
        <v>232</v>
      </c>
      <c r="N52" s="18">
        <v>199</v>
      </c>
    </row>
    <row r="53" spans="1:14" x14ac:dyDescent="0.25">
      <c r="A53" s="17">
        <v>1046</v>
      </c>
      <c r="B53" s="18">
        <v>658</v>
      </c>
      <c r="C53" s="18">
        <v>7</v>
      </c>
      <c r="D53" s="18">
        <v>694</v>
      </c>
      <c r="E53" s="20">
        <v>0.94812680115273773</v>
      </c>
      <c r="J53" s="22" t="s">
        <v>234</v>
      </c>
      <c r="K53" s="18">
        <v>58256</v>
      </c>
      <c r="M53" s="22" t="s">
        <v>233</v>
      </c>
      <c r="N53" s="18">
        <v>256</v>
      </c>
    </row>
    <row r="54" spans="1:14" x14ac:dyDescent="0.25">
      <c r="A54" s="17">
        <v>1047</v>
      </c>
      <c r="B54" s="18">
        <v>2586</v>
      </c>
      <c r="C54" s="18">
        <v>6</v>
      </c>
      <c r="D54" s="18">
        <v>2132</v>
      </c>
      <c r="E54" s="20">
        <v>1.2129455909943714</v>
      </c>
      <c r="J54" s="17" t="s">
        <v>214</v>
      </c>
      <c r="K54" s="18">
        <v>741142</v>
      </c>
      <c r="M54" s="22" t="s">
        <v>234</v>
      </c>
      <c r="N54" s="18">
        <v>255</v>
      </c>
    </row>
    <row r="55" spans="1:14" x14ac:dyDescent="0.25">
      <c r="A55" s="17">
        <v>1048</v>
      </c>
      <c r="B55" s="18">
        <v>1020</v>
      </c>
      <c r="C55" s="18">
        <v>6</v>
      </c>
      <c r="D55" s="18">
        <v>1273</v>
      </c>
      <c r="E55" s="20">
        <v>0.80125687352710129</v>
      </c>
      <c r="M55" s="17" t="s">
        <v>214</v>
      </c>
      <c r="N55" s="18">
        <v>2797</v>
      </c>
    </row>
    <row r="56" spans="1:14" x14ac:dyDescent="0.25">
      <c r="A56" s="17">
        <v>1049</v>
      </c>
      <c r="B56" s="18">
        <v>1392</v>
      </c>
      <c r="C56" s="18">
        <v>6</v>
      </c>
      <c r="D56" s="18">
        <v>1646</v>
      </c>
      <c r="E56" s="20">
        <v>0.84568651275820172</v>
      </c>
    </row>
    <row r="57" spans="1:14" x14ac:dyDescent="0.25">
      <c r="A57" s="17">
        <v>1050</v>
      </c>
      <c r="B57" s="18">
        <v>1269</v>
      </c>
      <c r="C57" s="18">
        <v>9</v>
      </c>
      <c r="D57" s="18">
        <v>1077</v>
      </c>
      <c r="E57" s="20">
        <v>1.1782729805013927</v>
      </c>
    </row>
    <row r="58" spans="1:14" x14ac:dyDescent="0.25">
      <c r="A58" s="17">
        <v>1051</v>
      </c>
      <c r="B58" s="18">
        <v>3045</v>
      </c>
      <c r="C58" s="18">
        <v>7</v>
      </c>
      <c r="D58" s="18">
        <v>3910</v>
      </c>
      <c r="E58" s="20">
        <v>0.77877237851662406</v>
      </c>
    </row>
    <row r="59" spans="1:14" x14ac:dyDescent="0.25">
      <c r="A59" s="17">
        <v>1052</v>
      </c>
      <c r="B59" s="18">
        <v>3762</v>
      </c>
      <c r="C59" s="18">
        <v>9</v>
      </c>
      <c r="D59" s="18">
        <v>3830</v>
      </c>
      <c r="E59" s="20">
        <v>0.98224543080939952</v>
      </c>
    </row>
    <row r="60" spans="1:14" x14ac:dyDescent="0.25">
      <c r="A60" s="17">
        <v>1053</v>
      </c>
      <c r="B60" s="18">
        <v>376</v>
      </c>
      <c r="C60" s="18">
        <v>8</v>
      </c>
      <c r="D60" s="18">
        <v>460</v>
      </c>
      <c r="E60" s="20">
        <v>0.81739130434782614</v>
      </c>
    </row>
    <row r="61" spans="1:14" x14ac:dyDescent="0.25">
      <c r="A61" s="17">
        <v>1054</v>
      </c>
      <c r="B61" s="18">
        <v>3096</v>
      </c>
      <c r="C61" s="18">
        <v>8</v>
      </c>
      <c r="D61" s="18">
        <v>2482</v>
      </c>
      <c r="E61" s="20">
        <v>1.2473811442385174</v>
      </c>
      <c r="J61" t="s">
        <v>85</v>
      </c>
    </row>
    <row r="62" spans="1:14" x14ac:dyDescent="0.25">
      <c r="A62" s="17">
        <v>1055</v>
      </c>
      <c r="B62" s="18">
        <v>3288</v>
      </c>
      <c r="C62" s="18">
        <v>8</v>
      </c>
      <c r="D62" s="18">
        <v>4055</v>
      </c>
      <c r="E62" s="20">
        <v>0.81085080147965471</v>
      </c>
      <c r="J62" s="16" t="s">
        <v>215</v>
      </c>
      <c r="K62" t="s">
        <v>216</v>
      </c>
    </row>
    <row r="63" spans="1:14" x14ac:dyDescent="0.25">
      <c r="A63" s="17">
        <v>1056</v>
      </c>
      <c r="B63" s="18">
        <v>110</v>
      </c>
      <c r="C63" s="18">
        <v>10</v>
      </c>
      <c r="D63" s="18">
        <v>99</v>
      </c>
      <c r="E63" s="20">
        <v>1.1111111111111112</v>
      </c>
      <c r="J63" s="17" t="s">
        <v>236</v>
      </c>
      <c r="K63" s="18"/>
    </row>
    <row r="64" spans="1:14" x14ac:dyDescent="0.25">
      <c r="A64" s="17">
        <v>1057</v>
      </c>
      <c r="B64" s="18">
        <v>605</v>
      </c>
      <c r="C64" s="18">
        <v>5</v>
      </c>
      <c r="D64" s="18">
        <v>575</v>
      </c>
      <c r="E64" s="20">
        <v>1.0521739130434782</v>
      </c>
      <c r="J64" s="22" t="s">
        <v>223</v>
      </c>
      <c r="K64" s="18">
        <v>81318</v>
      </c>
    </row>
    <row r="65" spans="1:11" x14ac:dyDescent="0.25">
      <c r="A65" s="17">
        <v>1058</v>
      </c>
      <c r="B65" s="18">
        <v>386</v>
      </c>
      <c r="C65" s="18">
        <v>1</v>
      </c>
      <c r="D65" s="18">
        <v>387</v>
      </c>
      <c r="E65" s="20">
        <v>0.99741602067183466</v>
      </c>
      <c r="J65" s="22" t="s">
        <v>224</v>
      </c>
      <c r="K65" s="18">
        <v>56266</v>
      </c>
    </row>
    <row r="66" spans="1:11" x14ac:dyDescent="0.25">
      <c r="A66" s="17">
        <v>1059</v>
      </c>
      <c r="B66" s="18">
        <v>4392</v>
      </c>
      <c r="C66" s="18">
        <v>9</v>
      </c>
      <c r="D66" s="18">
        <v>4595</v>
      </c>
      <c r="E66" s="20">
        <v>0.95582154515778017</v>
      </c>
      <c r="J66" s="22" t="s">
        <v>225</v>
      </c>
      <c r="K66" s="18">
        <v>62195</v>
      </c>
    </row>
    <row r="67" spans="1:11" x14ac:dyDescent="0.25">
      <c r="A67" s="17">
        <v>1060</v>
      </c>
      <c r="B67" s="18">
        <v>2030</v>
      </c>
      <c r="C67" s="18">
        <v>5</v>
      </c>
      <c r="D67" s="18">
        <v>1784</v>
      </c>
      <c r="E67" s="20">
        <v>1.1378923766816142</v>
      </c>
      <c r="J67" s="22" t="s">
        <v>226</v>
      </c>
      <c r="K67" s="18">
        <v>42440</v>
      </c>
    </row>
    <row r="68" spans="1:11" x14ac:dyDescent="0.25">
      <c r="A68" s="17">
        <v>1061</v>
      </c>
      <c r="B68" s="18">
        <v>1278</v>
      </c>
      <c r="C68" s="18">
        <v>9</v>
      </c>
      <c r="D68" s="18">
        <v>1210</v>
      </c>
      <c r="E68" s="20">
        <v>1.0561983471074381</v>
      </c>
      <c r="J68" s="22" t="s">
        <v>227</v>
      </c>
      <c r="K68" s="18">
        <v>57361</v>
      </c>
    </row>
    <row r="69" spans="1:11" x14ac:dyDescent="0.25">
      <c r="A69" s="17">
        <v>1062</v>
      </c>
      <c r="B69" s="18">
        <v>1444</v>
      </c>
      <c r="C69" s="18">
        <v>4</v>
      </c>
      <c r="D69" s="18">
        <v>1464</v>
      </c>
      <c r="E69" s="20">
        <v>0.98633879781420764</v>
      </c>
      <c r="J69" s="22" t="s">
        <v>228</v>
      </c>
      <c r="K69" s="18">
        <v>57984</v>
      </c>
    </row>
    <row r="70" spans="1:11" x14ac:dyDescent="0.25">
      <c r="A70" s="17">
        <v>1063</v>
      </c>
      <c r="B70" s="18">
        <v>654</v>
      </c>
      <c r="C70" s="18">
        <v>2</v>
      </c>
      <c r="D70" s="18">
        <v>780</v>
      </c>
      <c r="E70" s="20">
        <v>0.83846153846153848</v>
      </c>
      <c r="J70" s="22" t="s">
        <v>229</v>
      </c>
      <c r="K70" s="18">
        <v>57873</v>
      </c>
    </row>
    <row r="71" spans="1:11" x14ac:dyDescent="0.25">
      <c r="A71" s="17">
        <v>1064</v>
      </c>
      <c r="B71" s="18">
        <v>44</v>
      </c>
      <c r="C71" s="18">
        <v>2</v>
      </c>
      <c r="D71" s="18">
        <v>43</v>
      </c>
      <c r="E71" s="20">
        <v>1.0232558139534884</v>
      </c>
      <c r="J71" s="22" t="s">
        <v>230</v>
      </c>
      <c r="K71" s="18">
        <v>76696</v>
      </c>
    </row>
    <row r="72" spans="1:11" x14ac:dyDescent="0.25">
      <c r="A72" s="17">
        <v>1065</v>
      </c>
      <c r="B72" s="18">
        <v>1344</v>
      </c>
      <c r="C72" s="18">
        <v>3</v>
      </c>
      <c r="D72" s="18">
        <v>1555</v>
      </c>
      <c r="E72" s="20">
        <v>0.86430868167202568</v>
      </c>
      <c r="J72" s="22" t="s">
        <v>231</v>
      </c>
      <c r="K72" s="18">
        <v>76886</v>
      </c>
    </row>
    <row r="73" spans="1:11" x14ac:dyDescent="0.25">
      <c r="A73" s="17">
        <v>1066</v>
      </c>
      <c r="B73" s="18">
        <v>1161</v>
      </c>
      <c r="C73" s="18">
        <v>3</v>
      </c>
      <c r="D73" s="18">
        <v>1211</v>
      </c>
      <c r="E73" s="20">
        <v>0.95871180842279113</v>
      </c>
      <c r="J73" s="22" t="s">
        <v>232</v>
      </c>
      <c r="K73" s="18">
        <v>55092</v>
      </c>
    </row>
    <row r="74" spans="1:11" x14ac:dyDescent="0.25">
      <c r="A74" s="17">
        <v>1067</v>
      </c>
      <c r="B74" s="18">
        <v>588</v>
      </c>
      <c r="C74" s="18">
        <v>4</v>
      </c>
      <c r="D74" s="18">
        <v>733</v>
      </c>
      <c r="E74" s="20">
        <v>0.80218281036834926</v>
      </c>
      <c r="J74" s="22" t="s">
        <v>233</v>
      </c>
      <c r="K74" s="18">
        <v>58775</v>
      </c>
    </row>
    <row r="75" spans="1:11" x14ac:dyDescent="0.25">
      <c r="A75" s="17">
        <v>1068</v>
      </c>
      <c r="B75" s="18">
        <v>1880</v>
      </c>
      <c r="C75" s="18">
        <v>8</v>
      </c>
      <c r="D75" s="18">
        <v>1755</v>
      </c>
      <c r="E75" s="20">
        <v>1.0712250712250713</v>
      </c>
      <c r="J75" s="22" t="s">
        <v>234</v>
      </c>
      <c r="K75" s="18">
        <v>58256</v>
      </c>
    </row>
    <row r="76" spans="1:11" x14ac:dyDescent="0.25">
      <c r="A76" s="17">
        <v>1069</v>
      </c>
      <c r="B76" s="18">
        <v>3256</v>
      </c>
      <c r="C76" s="18">
        <v>8</v>
      </c>
      <c r="D76" s="18">
        <v>2617</v>
      </c>
      <c r="E76" s="20">
        <v>1.2441727168513566</v>
      </c>
      <c r="J76" s="17" t="s">
        <v>214</v>
      </c>
      <c r="K76" s="18">
        <v>741142</v>
      </c>
    </row>
    <row r="77" spans="1:11" x14ac:dyDescent="0.25">
      <c r="A77" s="17">
        <v>1070</v>
      </c>
      <c r="B77" s="18">
        <v>2936</v>
      </c>
      <c r="C77" s="18">
        <v>8</v>
      </c>
      <c r="D77" s="18">
        <v>3135</v>
      </c>
      <c r="E77" s="20">
        <v>0.9365231259968102</v>
      </c>
    </row>
    <row r="78" spans="1:11" x14ac:dyDescent="0.25">
      <c r="A78" s="17">
        <v>1071</v>
      </c>
      <c r="B78" s="18">
        <v>2178</v>
      </c>
      <c r="C78" s="18">
        <v>6</v>
      </c>
      <c r="D78" s="18">
        <v>1965</v>
      </c>
      <c r="E78" s="20">
        <v>1.1083969465648855</v>
      </c>
    </row>
    <row r="79" spans="1:11" x14ac:dyDescent="0.25">
      <c r="A79" s="17">
        <v>1072</v>
      </c>
      <c r="B79" s="18">
        <v>3930</v>
      </c>
      <c r="C79" s="18">
        <v>10</v>
      </c>
      <c r="D79" s="18">
        <v>4589</v>
      </c>
      <c r="E79" s="20">
        <v>0.85639572891697535</v>
      </c>
    </row>
    <row r="80" spans="1:11" x14ac:dyDescent="0.25">
      <c r="A80" s="17">
        <v>1073</v>
      </c>
      <c r="B80" s="18">
        <v>1480</v>
      </c>
      <c r="C80" s="18">
        <v>4</v>
      </c>
      <c r="D80" s="18">
        <v>1213</v>
      </c>
      <c r="E80" s="20">
        <v>1.2201154163231658</v>
      </c>
    </row>
    <row r="81" spans="1:5" x14ac:dyDescent="0.25">
      <c r="A81" s="17">
        <v>1074</v>
      </c>
      <c r="B81" s="18">
        <v>2110</v>
      </c>
      <c r="C81" s="18">
        <v>10</v>
      </c>
      <c r="D81" s="18">
        <v>2413</v>
      </c>
      <c r="E81" s="20">
        <v>0.8744301699129714</v>
      </c>
    </row>
    <row r="82" spans="1:5" x14ac:dyDescent="0.25">
      <c r="A82" s="17">
        <v>1075</v>
      </c>
      <c r="B82" s="18">
        <v>3500</v>
      </c>
      <c r="C82" s="18">
        <v>10</v>
      </c>
      <c r="D82" s="18">
        <v>3056</v>
      </c>
      <c r="E82" s="20">
        <v>1.1452879581151831</v>
      </c>
    </row>
    <row r="83" spans="1:5" x14ac:dyDescent="0.25">
      <c r="A83" s="17">
        <v>1076</v>
      </c>
      <c r="B83" s="18">
        <v>276</v>
      </c>
      <c r="C83" s="18">
        <v>2</v>
      </c>
      <c r="D83" s="18">
        <v>304</v>
      </c>
      <c r="E83" s="20">
        <v>0.90789473684210531</v>
      </c>
    </row>
    <row r="84" spans="1:5" x14ac:dyDescent="0.25">
      <c r="A84" s="17">
        <v>1077</v>
      </c>
      <c r="B84" s="18">
        <v>3820</v>
      </c>
      <c r="C84" s="18">
        <v>10</v>
      </c>
      <c r="D84" s="18">
        <v>4718</v>
      </c>
      <c r="E84" s="20">
        <v>0.80966511233573546</v>
      </c>
    </row>
    <row r="85" spans="1:5" x14ac:dyDescent="0.25">
      <c r="A85" s="17">
        <v>1078</v>
      </c>
      <c r="B85" s="18">
        <v>2457</v>
      </c>
      <c r="C85" s="18">
        <v>7</v>
      </c>
      <c r="D85" s="18">
        <v>2011</v>
      </c>
      <c r="E85" s="20">
        <v>1.2217802088513177</v>
      </c>
    </row>
    <row r="86" spans="1:5" x14ac:dyDescent="0.25">
      <c r="A86" s="17">
        <v>1079</v>
      </c>
      <c r="B86" s="18">
        <v>1848</v>
      </c>
      <c r="C86" s="18">
        <v>4</v>
      </c>
      <c r="D86" s="18">
        <v>2208</v>
      </c>
      <c r="E86" s="20">
        <v>0.83695652173913049</v>
      </c>
    </row>
    <row r="87" spans="1:5" x14ac:dyDescent="0.25">
      <c r="A87" s="17">
        <v>1080</v>
      </c>
      <c r="B87" s="18">
        <v>957</v>
      </c>
      <c r="C87" s="18">
        <v>3</v>
      </c>
      <c r="D87" s="18">
        <v>1211</v>
      </c>
      <c r="E87" s="20">
        <v>0.79025598678777864</v>
      </c>
    </row>
    <row r="88" spans="1:5" x14ac:dyDescent="0.25">
      <c r="A88" s="17">
        <v>1081</v>
      </c>
      <c r="B88" s="18">
        <v>3480</v>
      </c>
      <c r="C88" s="18">
        <v>10</v>
      </c>
      <c r="D88" s="18">
        <v>3494</v>
      </c>
      <c r="E88" s="20">
        <v>0.99599313108185461</v>
      </c>
    </row>
    <row r="89" spans="1:5" x14ac:dyDescent="0.25">
      <c r="A89" s="17">
        <v>1082</v>
      </c>
      <c r="B89" s="18">
        <v>261</v>
      </c>
      <c r="C89" s="18">
        <v>9</v>
      </c>
      <c r="D89" s="18">
        <v>296</v>
      </c>
      <c r="E89" s="20">
        <v>0.8817567567567568</v>
      </c>
    </row>
    <row r="90" spans="1:5" x14ac:dyDescent="0.25">
      <c r="A90" s="17">
        <v>1083</v>
      </c>
      <c r="B90" s="18">
        <v>582</v>
      </c>
      <c r="C90" s="18">
        <v>3</v>
      </c>
      <c r="D90" s="18">
        <v>499</v>
      </c>
      <c r="E90" s="20">
        <v>1.1663326653306614</v>
      </c>
    </row>
    <row r="91" spans="1:5" x14ac:dyDescent="0.25">
      <c r="A91" s="17">
        <v>1084</v>
      </c>
      <c r="B91" s="18">
        <v>3006</v>
      </c>
      <c r="C91" s="18">
        <v>9</v>
      </c>
      <c r="D91" s="18">
        <v>3663</v>
      </c>
      <c r="E91" s="20">
        <v>0.82063882063882065</v>
      </c>
    </row>
    <row r="92" spans="1:5" x14ac:dyDescent="0.25">
      <c r="A92" s="17">
        <v>1085</v>
      </c>
      <c r="B92" s="18">
        <v>2896</v>
      </c>
      <c r="C92" s="18">
        <v>8</v>
      </c>
      <c r="D92" s="18">
        <v>3086</v>
      </c>
      <c r="E92" s="20">
        <v>0.93843162670123137</v>
      </c>
    </row>
    <row r="93" spans="1:5" x14ac:dyDescent="0.25">
      <c r="A93" s="17">
        <v>1086</v>
      </c>
      <c r="B93" s="18">
        <v>805</v>
      </c>
      <c r="C93" s="18">
        <v>5</v>
      </c>
      <c r="D93" s="18">
        <v>847</v>
      </c>
      <c r="E93" s="20">
        <v>0.95041322314049592</v>
      </c>
    </row>
    <row r="94" spans="1:5" x14ac:dyDescent="0.25">
      <c r="A94" s="17">
        <v>1087</v>
      </c>
      <c r="B94" s="18">
        <v>154</v>
      </c>
      <c r="C94" s="18">
        <v>7</v>
      </c>
      <c r="D94" s="18">
        <v>150</v>
      </c>
      <c r="E94" s="20">
        <v>1.0266666666666666</v>
      </c>
    </row>
    <row r="95" spans="1:5" x14ac:dyDescent="0.25">
      <c r="A95" s="17">
        <v>1088</v>
      </c>
      <c r="B95" s="18">
        <v>802</v>
      </c>
      <c r="C95" s="18">
        <v>2</v>
      </c>
      <c r="D95" s="18">
        <v>739</v>
      </c>
      <c r="E95" s="20">
        <v>1.0852503382949932</v>
      </c>
    </row>
    <row r="96" spans="1:5" x14ac:dyDescent="0.25">
      <c r="A96" s="17">
        <v>1089</v>
      </c>
      <c r="B96" s="18">
        <v>3328</v>
      </c>
      <c r="C96" s="18">
        <v>8</v>
      </c>
      <c r="D96" s="18">
        <v>3985</v>
      </c>
      <c r="E96" s="20">
        <v>0.83513174404015056</v>
      </c>
    </row>
    <row r="97" spans="1:5" x14ac:dyDescent="0.25">
      <c r="A97" s="17">
        <v>1090</v>
      </c>
      <c r="B97" s="18">
        <v>1824</v>
      </c>
      <c r="C97" s="18">
        <v>4</v>
      </c>
      <c r="D97" s="18">
        <v>2116</v>
      </c>
      <c r="E97" s="20">
        <v>0.8620037807183365</v>
      </c>
    </row>
    <row r="98" spans="1:5" x14ac:dyDescent="0.25">
      <c r="A98" s="17">
        <v>1091</v>
      </c>
      <c r="B98" s="18">
        <v>3493</v>
      </c>
      <c r="C98" s="18">
        <v>7</v>
      </c>
      <c r="D98" s="18">
        <v>3885</v>
      </c>
      <c r="E98" s="20">
        <v>0.89909909909909913</v>
      </c>
    </row>
    <row r="99" spans="1:5" x14ac:dyDescent="0.25">
      <c r="A99" s="17">
        <v>1092</v>
      </c>
      <c r="B99" s="18">
        <v>1218</v>
      </c>
      <c r="C99" s="18">
        <v>6</v>
      </c>
      <c r="D99" s="18">
        <v>1185</v>
      </c>
      <c r="E99" s="20">
        <v>1.0278481012658227</v>
      </c>
    </row>
    <row r="100" spans="1:5" x14ac:dyDescent="0.25">
      <c r="A100" s="17">
        <v>1093</v>
      </c>
      <c r="B100" s="18">
        <v>940</v>
      </c>
      <c r="C100" s="18">
        <v>4</v>
      </c>
      <c r="D100" s="18">
        <v>760</v>
      </c>
      <c r="E100" s="20">
        <v>1.236842105263158</v>
      </c>
    </row>
    <row r="101" spans="1:5" x14ac:dyDescent="0.25">
      <c r="A101" s="17">
        <v>1094</v>
      </c>
      <c r="B101" s="18">
        <v>2853</v>
      </c>
      <c r="C101" s="18">
        <v>9</v>
      </c>
      <c r="D101" s="18">
        <v>2847</v>
      </c>
      <c r="E101" s="20">
        <v>1.0021074815595363</v>
      </c>
    </row>
    <row r="102" spans="1:5" x14ac:dyDescent="0.25">
      <c r="A102" s="17">
        <v>1095</v>
      </c>
      <c r="B102" s="18">
        <v>894</v>
      </c>
      <c r="C102" s="18">
        <v>2</v>
      </c>
      <c r="D102" s="18">
        <v>1158</v>
      </c>
      <c r="E102" s="20">
        <v>0.772020725388601</v>
      </c>
    </row>
    <row r="103" spans="1:5" x14ac:dyDescent="0.25">
      <c r="A103" s="17">
        <v>1096</v>
      </c>
      <c r="B103" s="18">
        <v>2317</v>
      </c>
      <c r="C103" s="18">
        <v>7</v>
      </c>
      <c r="D103" s="18">
        <v>1926</v>
      </c>
      <c r="E103" s="20">
        <v>1.2030114226375908</v>
      </c>
    </row>
    <row r="104" spans="1:5" x14ac:dyDescent="0.25">
      <c r="A104" s="17">
        <v>1097</v>
      </c>
      <c r="B104" s="18">
        <v>1925</v>
      </c>
      <c r="C104" s="18">
        <v>5</v>
      </c>
      <c r="D104" s="18">
        <v>1600</v>
      </c>
      <c r="E104" s="20">
        <v>1.203125</v>
      </c>
    </row>
    <row r="105" spans="1:5" x14ac:dyDescent="0.25">
      <c r="A105" s="17">
        <v>1098</v>
      </c>
      <c r="B105" s="18">
        <v>2520</v>
      </c>
      <c r="C105" s="18">
        <v>7</v>
      </c>
      <c r="D105" s="18">
        <v>2897</v>
      </c>
      <c r="E105" s="20">
        <v>0.86986537797721786</v>
      </c>
    </row>
    <row r="106" spans="1:5" x14ac:dyDescent="0.25">
      <c r="A106" s="17">
        <v>1099</v>
      </c>
      <c r="B106" s="18">
        <v>2970</v>
      </c>
      <c r="C106" s="18">
        <v>9</v>
      </c>
      <c r="D106" s="18">
        <v>3031</v>
      </c>
      <c r="E106" s="20">
        <v>0.97987462883536791</v>
      </c>
    </row>
    <row r="107" spans="1:5" x14ac:dyDescent="0.25">
      <c r="A107" s="17">
        <v>1100</v>
      </c>
      <c r="B107" s="18">
        <v>918</v>
      </c>
      <c r="C107" s="18">
        <v>6</v>
      </c>
      <c r="D107" s="18">
        <v>1133</v>
      </c>
      <c r="E107" s="20">
        <v>0.81023830538393649</v>
      </c>
    </row>
    <row r="108" spans="1:5" x14ac:dyDescent="0.25">
      <c r="A108" s="17">
        <v>1101</v>
      </c>
      <c r="B108" s="18">
        <v>460</v>
      </c>
      <c r="C108" s="18">
        <v>2</v>
      </c>
      <c r="D108" s="18">
        <v>400</v>
      </c>
      <c r="E108" s="20">
        <v>1.1499999999999999</v>
      </c>
    </row>
    <row r="109" spans="1:5" x14ac:dyDescent="0.25">
      <c r="A109" s="17">
        <v>1102</v>
      </c>
      <c r="B109" s="18">
        <v>485</v>
      </c>
      <c r="C109" s="18">
        <v>5</v>
      </c>
      <c r="D109" s="18">
        <v>603</v>
      </c>
      <c r="E109" s="20">
        <v>0.80431177446102819</v>
      </c>
    </row>
    <row r="110" spans="1:5" x14ac:dyDescent="0.25">
      <c r="A110" s="17">
        <v>1103</v>
      </c>
      <c r="B110" s="18">
        <v>852</v>
      </c>
      <c r="C110" s="18">
        <v>2</v>
      </c>
      <c r="D110" s="18">
        <v>1063</v>
      </c>
      <c r="E110" s="20">
        <v>0.80150517403574784</v>
      </c>
    </row>
    <row r="111" spans="1:5" x14ac:dyDescent="0.25">
      <c r="A111" s="17">
        <v>1104</v>
      </c>
      <c r="B111" s="18">
        <v>2215</v>
      </c>
      <c r="C111" s="18">
        <v>5</v>
      </c>
      <c r="D111" s="18">
        <v>2759</v>
      </c>
      <c r="E111" s="20">
        <v>0.80282711127220008</v>
      </c>
    </row>
    <row r="112" spans="1:5" x14ac:dyDescent="0.25">
      <c r="A112" s="17">
        <v>1105</v>
      </c>
      <c r="B112" s="18">
        <v>1197</v>
      </c>
      <c r="C112" s="18">
        <v>3</v>
      </c>
      <c r="D112" s="18">
        <v>1129</v>
      </c>
      <c r="E112" s="20">
        <v>1.0602302922940656</v>
      </c>
    </row>
    <row r="113" spans="1:5" x14ac:dyDescent="0.25">
      <c r="A113" s="17">
        <v>1106</v>
      </c>
      <c r="B113" s="18">
        <v>2520</v>
      </c>
      <c r="C113" s="18">
        <v>6</v>
      </c>
      <c r="D113" s="18">
        <v>2854</v>
      </c>
      <c r="E113" s="20">
        <v>0.88297126839523477</v>
      </c>
    </row>
    <row r="114" spans="1:5" x14ac:dyDescent="0.25">
      <c r="A114" s="17">
        <v>1107</v>
      </c>
      <c r="B114" s="18">
        <v>2125</v>
      </c>
      <c r="C114" s="18">
        <v>5</v>
      </c>
      <c r="D114" s="18">
        <v>2520</v>
      </c>
      <c r="E114" s="20">
        <v>0.84325396825396826</v>
      </c>
    </row>
    <row r="115" spans="1:5" x14ac:dyDescent="0.25">
      <c r="A115" s="17">
        <v>1108</v>
      </c>
      <c r="B115" s="18">
        <v>3381</v>
      </c>
      <c r="C115" s="18">
        <v>7</v>
      </c>
      <c r="D115" s="18">
        <v>3167</v>
      </c>
      <c r="E115" s="20">
        <v>1.0675718345437322</v>
      </c>
    </row>
    <row r="116" spans="1:5" x14ac:dyDescent="0.25">
      <c r="A116" s="17">
        <v>1109</v>
      </c>
      <c r="B116" s="18">
        <v>175</v>
      </c>
      <c r="C116" s="18">
        <v>1</v>
      </c>
      <c r="D116" s="18">
        <v>177</v>
      </c>
      <c r="E116" s="20">
        <v>0.98870056497175141</v>
      </c>
    </row>
    <row r="117" spans="1:5" x14ac:dyDescent="0.25">
      <c r="A117" s="17">
        <v>1110</v>
      </c>
      <c r="B117" s="18">
        <v>3208</v>
      </c>
      <c r="C117" s="18">
        <v>8</v>
      </c>
      <c r="D117" s="18">
        <v>3315</v>
      </c>
      <c r="E117" s="20">
        <v>0.96772247360482655</v>
      </c>
    </row>
    <row r="118" spans="1:5" x14ac:dyDescent="0.25">
      <c r="A118" s="17">
        <v>1111</v>
      </c>
      <c r="B118" s="18">
        <v>920</v>
      </c>
      <c r="C118" s="18">
        <v>4</v>
      </c>
      <c r="D118" s="18">
        <v>889</v>
      </c>
      <c r="E118" s="20">
        <v>1.0348706411698538</v>
      </c>
    </row>
    <row r="119" spans="1:5" x14ac:dyDescent="0.25">
      <c r="A119" s="17">
        <v>1112</v>
      </c>
      <c r="B119" s="18">
        <v>784</v>
      </c>
      <c r="C119" s="18">
        <v>2</v>
      </c>
      <c r="D119" s="18">
        <v>732</v>
      </c>
      <c r="E119" s="20">
        <v>1.0710382513661203</v>
      </c>
    </row>
    <row r="120" spans="1:5" x14ac:dyDescent="0.25">
      <c r="A120" s="17">
        <v>1113</v>
      </c>
      <c r="B120" s="18">
        <v>585</v>
      </c>
      <c r="C120" s="18">
        <v>9</v>
      </c>
      <c r="D120" s="18">
        <v>639</v>
      </c>
      <c r="E120" s="20">
        <v>0.91549295774647887</v>
      </c>
    </row>
    <row r="121" spans="1:5" x14ac:dyDescent="0.25">
      <c r="A121" s="17">
        <v>1114</v>
      </c>
      <c r="B121" s="18">
        <v>1564</v>
      </c>
      <c r="C121" s="18">
        <v>4</v>
      </c>
      <c r="D121" s="18">
        <v>1362</v>
      </c>
      <c r="E121" s="20">
        <v>1.1483113069016153</v>
      </c>
    </row>
    <row r="122" spans="1:5" x14ac:dyDescent="0.25">
      <c r="A122" s="17">
        <v>1115</v>
      </c>
      <c r="B122" s="18">
        <v>525</v>
      </c>
      <c r="C122" s="18">
        <v>7</v>
      </c>
      <c r="D122" s="18">
        <v>517</v>
      </c>
      <c r="E122" s="20">
        <v>1.0154738878143132</v>
      </c>
    </row>
    <row r="123" spans="1:5" x14ac:dyDescent="0.25">
      <c r="A123" s="17">
        <v>1116</v>
      </c>
      <c r="B123" s="18">
        <v>355</v>
      </c>
      <c r="C123" s="18">
        <v>5</v>
      </c>
      <c r="D123" s="18">
        <v>362</v>
      </c>
      <c r="E123" s="20">
        <v>0.98066298342541436</v>
      </c>
    </row>
    <row r="124" spans="1:5" x14ac:dyDescent="0.25">
      <c r="A124" s="17">
        <v>1117</v>
      </c>
      <c r="B124" s="18">
        <v>132</v>
      </c>
      <c r="C124" s="18">
        <v>2</v>
      </c>
      <c r="D124" s="18">
        <v>161</v>
      </c>
      <c r="E124" s="20">
        <v>0.81987577639751552</v>
      </c>
    </row>
    <row r="125" spans="1:5" x14ac:dyDescent="0.25">
      <c r="A125" s="17">
        <v>1118</v>
      </c>
      <c r="B125" s="18">
        <v>1290</v>
      </c>
      <c r="C125" s="18">
        <v>6</v>
      </c>
      <c r="D125" s="18">
        <v>1270</v>
      </c>
      <c r="E125" s="20">
        <v>1.015748031496063</v>
      </c>
    </row>
    <row r="126" spans="1:5" x14ac:dyDescent="0.25">
      <c r="A126" s="17">
        <v>1119</v>
      </c>
      <c r="B126" s="18">
        <v>957</v>
      </c>
      <c r="C126" s="18">
        <v>3</v>
      </c>
      <c r="D126" s="18">
        <v>1067</v>
      </c>
      <c r="E126" s="20">
        <v>0.89690721649484539</v>
      </c>
    </row>
    <row r="127" spans="1:5" x14ac:dyDescent="0.25">
      <c r="A127" s="17">
        <v>1120</v>
      </c>
      <c r="B127" s="18">
        <v>3255</v>
      </c>
      <c r="C127" s="18">
        <v>7</v>
      </c>
      <c r="D127" s="18">
        <v>4140</v>
      </c>
      <c r="E127" s="20">
        <v>0.78623188405797106</v>
      </c>
    </row>
    <row r="128" spans="1:5" x14ac:dyDescent="0.25">
      <c r="A128" s="17">
        <v>1121</v>
      </c>
      <c r="B128" s="18">
        <v>110</v>
      </c>
      <c r="C128" s="18">
        <v>2</v>
      </c>
      <c r="D128" s="18">
        <v>110</v>
      </c>
      <c r="E128" s="20">
        <v>1</v>
      </c>
    </row>
    <row r="129" spans="1:5" x14ac:dyDescent="0.25">
      <c r="A129" s="17">
        <v>1122</v>
      </c>
      <c r="B129" s="18">
        <v>633</v>
      </c>
      <c r="C129" s="18">
        <v>3</v>
      </c>
      <c r="D129" s="18">
        <v>637</v>
      </c>
      <c r="E129" s="20">
        <v>0.99372056514913654</v>
      </c>
    </row>
    <row r="130" spans="1:5" x14ac:dyDescent="0.25">
      <c r="A130" s="17">
        <v>1123</v>
      </c>
      <c r="B130" s="18">
        <v>2556</v>
      </c>
      <c r="C130" s="18">
        <v>6</v>
      </c>
      <c r="D130" s="18">
        <v>2052</v>
      </c>
      <c r="E130" s="20">
        <v>1.2456140350877194</v>
      </c>
    </row>
    <row r="131" spans="1:5" x14ac:dyDescent="0.25">
      <c r="A131" s="17">
        <v>1124</v>
      </c>
      <c r="B131" s="18">
        <v>1845</v>
      </c>
      <c r="C131" s="18">
        <v>9</v>
      </c>
      <c r="D131" s="18">
        <v>2077</v>
      </c>
      <c r="E131" s="20">
        <v>0.88830043331728459</v>
      </c>
    </row>
    <row r="132" spans="1:5" x14ac:dyDescent="0.25">
      <c r="A132" s="17">
        <v>1125</v>
      </c>
      <c r="B132" s="18">
        <v>1575</v>
      </c>
      <c r="C132" s="18">
        <v>7</v>
      </c>
      <c r="D132" s="18">
        <v>1783</v>
      </c>
      <c r="E132" s="20">
        <v>0.88334268087492984</v>
      </c>
    </row>
    <row r="133" spans="1:5" x14ac:dyDescent="0.25">
      <c r="A133" s="17">
        <v>1126</v>
      </c>
      <c r="B133" s="18">
        <v>2149</v>
      </c>
      <c r="C133" s="18">
        <v>7</v>
      </c>
      <c r="D133" s="18">
        <v>2038</v>
      </c>
      <c r="E133" s="20">
        <v>1.0544651619234544</v>
      </c>
    </row>
    <row r="134" spans="1:5" x14ac:dyDescent="0.25">
      <c r="A134" s="17">
        <v>1127</v>
      </c>
      <c r="B134" s="18">
        <v>4150</v>
      </c>
      <c r="C134" s="18">
        <v>10</v>
      </c>
      <c r="D134" s="18">
        <v>3937</v>
      </c>
      <c r="E134" s="20">
        <v>1.0541021082042163</v>
      </c>
    </row>
    <row r="135" spans="1:5" x14ac:dyDescent="0.25">
      <c r="A135" s="17">
        <v>1128</v>
      </c>
      <c r="B135" s="18">
        <v>421</v>
      </c>
      <c r="C135" s="18">
        <v>1</v>
      </c>
      <c r="D135" s="18">
        <v>494</v>
      </c>
      <c r="E135" s="20">
        <v>0.85222672064777327</v>
      </c>
    </row>
    <row r="136" spans="1:5" x14ac:dyDescent="0.25">
      <c r="A136" s="17">
        <v>1129</v>
      </c>
      <c r="B136" s="18">
        <v>4520</v>
      </c>
      <c r="C136" s="18">
        <v>10</v>
      </c>
      <c r="D136" s="18">
        <v>5201</v>
      </c>
      <c r="E136" s="20">
        <v>0.86906364160738314</v>
      </c>
    </row>
    <row r="137" spans="1:5" x14ac:dyDescent="0.25">
      <c r="A137" s="17">
        <v>1130</v>
      </c>
      <c r="B137" s="18">
        <v>1960</v>
      </c>
      <c r="C137" s="18">
        <v>7</v>
      </c>
      <c r="D137" s="18">
        <v>2237</v>
      </c>
      <c r="E137" s="20">
        <v>0.87617344658024143</v>
      </c>
    </row>
    <row r="138" spans="1:5" x14ac:dyDescent="0.25">
      <c r="A138" s="17">
        <v>1131</v>
      </c>
      <c r="B138" s="18">
        <v>360</v>
      </c>
      <c r="C138" s="18">
        <v>5</v>
      </c>
      <c r="D138" s="18">
        <v>338</v>
      </c>
      <c r="E138" s="20">
        <v>1.0650887573964498</v>
      </c>
    </row>
    <row r="139" spans="1:5" x14ac:dyDescent="0.25">
      <c r="A139" s="17">
        <v>1132</v>
      </c>
      <c r="B139" s="18">
        <v>3486</v>
      </c>
      <c r="C139" s="18">
        <v>7</v>
      </c>
      <c r="D139" s="18">
        <v>4249</v>
      </c>
      <c r="E139" s="20">
        <v>0.82042833607907739</v>
      </c>
    </row>
    <row r="140" spans="1:5" x14ac:dyDescent="0.25">
      <c r="A140" s="17">
        <v>1133</v>
      </c>
      <c r="B140" s="18">
        <v>828</v>
      </c>
      <c r="C140" s="18">
        <v>3</v>
      </c>
      <c r="D140" s="18">
        <v>1072</v>
      </c>
      <c r="E140" s="20">
        <v>0.77238805970149249</v>
      </c>
    </row>
    <row r="141" spans="1:5" x14ac:dyDescent="0.25">
      <c r="A141" s="17">
        <v>1134</v>
      </c>
      <c r="B141" s="18">
        <v>357</v>
      </c>
      <c r="C141" s="18">
        <v>1</v>
      </c>
      <c r="D141" s="18">
        <v>334</v>
      </c>
      <c r="E141" s="20">
        <v>1.0688622754491017</v>
      </c>
    </row>
    <row r="142" spans="1:5" x14ac:dyDescent="0.25">
      <c r="A142" s="17">
        <v>1135</v>
      </c>
      <c r="B142" s="18">
        <v>1128</v>
      </c>
      <c r="C142" s="18">
        <v>3</v>
      </c>
      <c r="D142" s="18">
        <v>1189</v>
      </c>
      <c r="E142" s="20">
        <v>0.94869638351555929</v>
      </c>
    </row>
    <row r="143" spans="1:5" x14ac:dyDescent="0.25">
      <c r="A143" s="17">
        <v>1136</v>
      </c>
      <c r="B143" s="18">
        <v>3520</v>
      </c>
      <c r="C143" s="18">
        <v>8</v>
      </c>
      <c r="D143" s="18">
        <v>3393</v>
      </c>
      <c r="E143" s="20">
        <v>1.0374300029472443</v>
      </c>
    </row>
    <row r="144" spans="1:5" x14ac:dyDescent="0.25">
      <c r="A144" s="17">
        <v>1137</v>
      </c>
      <c r="B144" s="18">
        <v>616</v>
      </c>
      <c r="C144" s="18">
        <v>7</v>
      </c>
      <c r="D144" s="18">
        <v>506</v>
      </c>
      <c r="E144" s="20">
        <v>1.2173913043478262</v>
      </c>
    </row>
    <row r="145" spans="1:5" x14ac:dyDescent="0.25">
      <c r="A145" s="17">
        <v>1138</v>
      </c>
      <c r="B145" s="18">
        <v>2268</v>
      </c>
      <c r="C145" s="18">
        <v>9</v>
      </c>
      <c r="D145" s="18">
        <v>2447</v>
      </c>
      <c r="E145" s="20">
        <v>0.92684920310584384</v>
      </c>
    </row>
    <row r="146" spans="1:5" x14ac:dyDescent="0.25">
      <c r="A146" s="17">
        <v>1139</v>
      </c>
      <c r="B146" s="18">
        <v>183</v>
      </c>
      <c r="C146" s="18">
        <v>3</v>
      </c>
      <c r="D146" s="18">
        <v>198</v>
      </c>
      <c r="E146" s="20">
        <v>0.9242424242424242</v>
      </c>
    </row>
    <row r="147" spans="1:5" x14ac:dyDescent="0.25">
      <c r="A147" s="17">
        <v>1140</v>
      </c>
      <c r="B147" s="18">
        <v>30</v>
      </c>
      <c r="C147" s="18">
        <v>1</v>
      </c>
      <c r="D147" s="18">
        <v>30</v>
      </c>
      <c r="E147" s="20">
        <v>1</v>
      </c>
    </row>
    <row r="148" spans="1:5" x14ac:dyDescent="0.25">
      <c r="A148" s="17">
        <v>1141</v>
      </c>
      <c r="B148" s="18">
        <v>1449</v>
      </c>
      <c r="C148" s="18">
        <v>3</v>
      </c>
      <c r="D148" s="18">
        <v>1758</v>
      </c>
      <c r="E148" s="20">
        <v>0.82423208191126285</v>
      </c>
    </row>
    <row r="149" spans="1:5" x14ac:dyDescent="0.25">
      <c r="A149" s="17">
        <v>1142</v>
      </c>
      <c r="B149" s="18">
        <v>2210</v>
      </c>
      <c r="C149" s="18">
        <v>5</v>
      </c>
      <c r="D149" s="18">
        <v>2423</v>
      </c>
      <c r="E149" s="20">
        <v>0.91209244737928186</v>
      </c>
    </row>
    <row r="150" spans="1:5" x14ac:dyDescent="0.25">
      <c r="A150" s="17">
        <v>1143</v>
      </c>
      <c r="B150" s="18">
        <v>720</v>
      </c>
      <c r="C150" s="18">
        <v>2</v>
      </c>
      <c r="D150" s="18">
        <v>763</v>
      </c>
      <c r="E150" s="20">
        <v>0.94364351245085187</v>
      </c>
    </row>
    <row r="151" spans="1:5" x14ac:dyDescent="0.25">
      <c r="A151" s="17">
        <v>1144</v>
      </c>
      <c r="B151" s="18">
        <v>992</v>
      </c>
      <c r="C151" s="18">
        <v>2</v>
      </c>
      <c r="D151" s="18">
        <v>862</v>
      </c>
      <c r="E151" s="20">
        <v>1.1508120649651972</v>
      </c>
    </row>
    <row r="152" spans="1:5" x14ac:dyDescent="0.25">
      <c r="A152" s="17">
        <v>1145</v>
      </c>
      <c r="B152" s="18">
        <v>164</v>
      </c>
      <c r="C152" s="18">
        <v>1</v>
      </c>
      <c r="D152" s="18">
        <v>186</v>
      </c>
      <c r="E152" s="20">
        <v>0.88172043010752688</v>
      </c>
    </row>
    <row r="153" spans="1:5" x14ac:dyDescent="0.25">
      <c r="A153" s="17">
        <v>1146</v>
      </c>
      <c r="B153" s="18">
        <v>1490</v>
      </c>
      <c r="C153" s="18">
        <v>5</v>
      </c>
      <c r="D153" s="18">
        <v>1256</v>
      </c>
      <c r="E153" s="20">
        <v>1.1863057324840764</v>
      </c>
    </row>
    <row r="154" spans="1:5" x14ac:dyDescent="0.25">
      <c r="A154" s="17">
        <v>1147</v>
      </c>
      <c r="B154" s="18">
        <v>3880</v>
      </c>
      <c r="C154" s="18">
        <v>8</v>
      </c>
      <c r="D154" s="18">
        <v>4060</v>
      </c>
      <c r="E154" s="20">
        <v>0.95566502463054193</v>
      </c>
    </row>
    <row r="155" spans="1:5" x14ac:dyDescent="0.25">
      <c r="A155" s="17">
        <v>1148</v>
      </c>
      <c r="B155" s="18">
        <v>192</v>
      </c>
      <c r="C155" s="18">
        <v>6</v>
      </c>
      <c r="D155" s="18">
        <v>221</v>
      </c>
      <c r="E155" s="20">
        <v>0.86877828054298645</v>
      </c>
    </row>
    <row r="156" spans="1:5" x14ac:dyDescent="0.25">
      <c r="A156" s="17">
        <v>1149</v>
      </c>
      <c r="B156" s="18">
        <v>2718</v>
      </c>
      <c r="C156" s="18">
        <v>6</v>
      </c>
      <c r="D156" s="18">
        <v>3194</v>
      </c>
      <c r="E156" s="20">
        <v>0.85097056981840957</v>
      </c>
    </row>
    <row r="157" spans="1:5" x14ac:dyDescent="0.25">
      <c r="A157" s="17">
        <v>1150</v>
      </c>
      <c r="B157" s="18">
        <v>1040</v>
      </c>
      <c r="C157" s="18">
        <v>5</v>
      </c>
      <c r="D157" s="18">
        <v>1259</v>
      </c>
      <c r="E157" s="20">
        <v>0.82605242255758538</v>
      </c>
    </row>
    <row r="158" spans="1:5" x14ac:dyDescent="0.25">
      <c r="A158" s="17">
        <v>1151</v>
      </c>
      <c r="B158" s="18">
        <v>651</v>
      </c>
      <c r="C158" s="18">
        <v>7</v>
      </c>
      <c r="D158" s="18">
        <v>813</v>
      </c>
      <c r="E158" s="20">
        <v>0.80073800738007384</v>
      </c>
    </row>
    <row r="159" spans="1:5" x14ac:dyDescent="0.25">
      <c r="A159" s="17">
        <v>1152</v>
      </c>
      <c r="B159" s="18">
        <v>2212</v>
      </c>
      <c r="C159" s="18">
        <v>7</v>
      </c>
      <c r="D159" s="18">
        <v>2254</v>
      </c>
      <c r="E159" s="20">
        <v>0.98136645962732916</v>
      </c>
    </row>
    <row r="160" spans="1:5" x14ac:dyDescent="0.25">
      <c r="A160" s="17">
        <v>1153</v>
      </c>
      <c r="B160" s="18">
        <v>591</v>
      </c>
      <c r="C160" s="18">
        <v>3</v>
      </c>
      <c r="D160" s="18">
        <v>489</v>
      </c>
      <c r="E160" s="20">
        <v>1.2085889570552146</v>
      </c>
    </row>
    <row r="161" spans="1:5" x14ac:dyDescent="0.25">
      <c r="A161" s="17">
        <v>1154</v>
      </c>
      <c r="B161" s="18">
        <v>3465</v>
      </c>
      <c r="C161" s="18">
        <v>7</v>
      </c>
      <c r="D161" s="18">
        <v>2999</v>
      </c>
      <c r="E161" s="20">
        <v>1.1553851283761254</v>
      </c>
    </row>
    <row r="162" spans="1:5" x14ac:dyDescent="0.25">
      <c r="A162" s="17">
        <v>1155</v>
      </c>
      <c r="B162" s="18">
        <v>200</v>
      </c>
      <c r="C162" s="18">
        <v>10</v>
      </c>
      <c r="D162" s="18">
        <v>163</v>
      </c>
      <c r="E162" s="20">
        <v>1.2269938650306749</v>
      </c>
    </row>
    <row r="163" spans="1:5" x14ac:dyDescent="0.25">
      <c r="A163" s="17">
        <v>1156</v>
      </c>
      <c r="B163" s="18">
        <v>1975</v>
      </c>
      <c r="C163" s="18">
        <v>5</v>
      </c>
      <c r="D163" s="18">
        <v>2146</v>
      </c>
      <c r="E163" s="20">
        <v>0.92031686859273065</v>
      </c>
    </row>
    <row r="164" spans="1:5" x14ac:dyDescent="0.25">
      <c r="A164" s="17">
        <v>1157</v>
      </c>
      <c r="B164" s="18">
        <v>1818</v>
      </c>
      <c r="C164" s="18">
        <v>6</v>
      </c>
      <c r="D164" s="18">
        <v>2169</v>
      </c>
      <c r="E164" s="20">
        <v>0.83817427385892118</v>
      </c>
    </row>
    <row r="165" spans="1:5" x14ac:dyDescent="0.25">
      <c r="A165" s="17">
        <v>1158</v>
      </c>
      <c r="B165" s="18">
        <v>1221</v>
      </c>
      <c r="C165" s="18">
        <v>3</v>
      </c>
      <c r="D165" s="18">
        <v>1229</v>
      </c>
      <c r="E165" s="20">
        <v>0.99349064279902355</v>
      </c>
    </row>
    <row r="166" spans="1:5" x14ac:dyDescent="0.25">
      <c r="A166" s="17">
        <v>1159</v>
      </c>
      <c r="B166" s="18">
        <v>384</v>
      </c>
      <c r="C166" s="18">
        <v>1</v>
      </c>
      <c r="D166" s="18">
        <v>491</v>
      </c>
      <c r="E166" s="20">
        <v>0.7820773930753564</v>
      </c>
    </row>
    <row r="167" spans="1:5" x14ac:dyDescent="0.25">
      <c r="A167" s="17">
        <v>1160</v>
      </c>
      <c r="B167" s="18">
        <v>515</v>
      </c>
      <c r="C167" s="18">
        <v>5</v>
      </c>
      <c r="D167" s="18">
        <v>492</v>
      </c>
      <c r="E167" s="20">
        <v>1.0467479674796747</v>
      </c>
    </row>
    <row r="168" spans="1:5" x14ac:dyDescent="0.25">
      <c r="A168" s="17">
        <v>1161</v>
      </c>
      <c r="B168" s="18">
        <v>4203</v>
      </c>
      <c r="C168" s="18">
        <v>9</v>
      </c>
      <c r="D168" s="18">
        <v>4744</v>
      </c>
      <c r="E168" s="20">
        <v>0.88596121416526141</v>
      </c>
    </row>
    <row r="169" spans="1:5" x14ac:dyDescent="0.25">
      <c r="A169" s="17">
        <v>1162</v>
      </c>
      <c r="B169" s="18">
        <v>520</v>
      </c>
      <c r="C169" s="18">
        <v>5</v>
      </c>
      <c r="D169" s="18">
        <v>494</v>
      </c>
      <c r="E169" s="20">
        <v>1.0526315789473684</v>
      </c>
    </row>
    <row r="170" spans="1:5" x14ac:dyDescent="0.25">
      <c r="A170" s="17">
        <v>1163</v>
      </c>
      <c r="B170" s="18">
        <v>2807</v>
      </c>
      <c r="C170" s="18">
        <v>7</v>
      </c>
      <c r="D170" s="18">
        <v>2796</v>
      </c>
      <c r="E170" s="20">
        <v>1.003934191702432</v>
      </c>
    </row>
    <row r="171" spans="1:5" x14ac:dyDescent="0.25">
      <c r="A171" s="17">
        <v>1164</v>
      </c>
      <c r="B171" s="18">
        <v>1780</v>
      </c>
      <c r="C171" s="18">
        <v>10</v>
      </c>
      <c r="D171" s="18">
        <v>1615</v>
      </c>
      <c r="E171" s="20">
        <v>1.1021671826625388</v>
      </c>
    </row>
    <row r="172" spans="1:5" x14ac:dyDescent="0.25">
      <c r="A172" s="17">
        <v>1165</v>
      </c>
      <c r="B172" s="18">
        <v>973</v>
      </c>
      <c r="C172" s="18">
        <v>7</v>
      </c>
      <c r="D172" s="18">
        <v>1056</v>
      </c>
      <c r="E172" s="20">
        <v>0.92140151515151514</v>
      </c>
    </row>
    <row r="173" spans="1:5" x14ac:dyDescent="0.25">
      <c r="A173" s="17">
        <v>1166</v>
      </c>
      <c r="B173" s="18">
        <v>360</v>
      </c>
      <c r="C173" s="18">
        <v>6</v>
      </c>
      <c r="D173" s="18">
        <v>360</v>
      </c>
      <c r="E173" s="20">
        <v>1</v>
      </c>
    </row>
    <row r="174" spans="1:5" x14ac:dyDescent="0.25">
      <c r="A174" s="17">
        <v>1167</v>
      </c>
      <c r="B174" s="18">
        <v>534</v>
      </c>
      <c r="C174" s="18">
        <v>2</v>
      </c>
      <c r="D174" s="18">
        <v>653</v>
      </c>
      <c r="E174" s="20">
        <v>0.81776416539050534</v>
      </c>
    </row>
    <row r="175" spans="1:5" x14ac:dyDescent="0.25">
      <c r="A175" s="17">
        <v>1168</v>
      </c>
      <c r="B175" s="18">
        <v>3520</v>
      </c>
      <c r="C175" s="18">
        <v>8</v>
      </c>
      <c r="D175" s="18">
        <v>3898</v>
      </c>
      <c r="E175" s="20">
        <v>0.90302719343252946</v>
      </c>
    </row>
    <row r="176" spans="1:5" x14ac:dyDescent="0.25">
      <c r="A176" s="17">
        <v>1169</v>
      </c>
      <c r="B176" s="18">
        <v>152</v>
      </c>
      <c r="C176" s="18">
        <v>8</v>
      </c>
      <c r="D176" s="18">
        <v>133</v>
      </c>
      <c r="E176" s="20">
        <v>1.1428571428571428</v>
      </c>
    </row>
    <row r="177" spans="1:5" x14ac:dyDescent="0.25">
      <c r="A177" s="17">
        <v>1170</v>
      </c>
      <c r="B177" s="18">
        <v>480</v>
      </c>
      <c r="C177" s="18">
        <v>4</v>
      </c>
      <c r="D177" s="18">
        <v>579</v>
      </c>
      <c r="E177" s="20">
        <v>0.82901554404145072</v>
      </c>
    </row>
    <row r="178" spans="1:5" x14ac:dyDescent="0.25">
      <c r="A178" s="17">
        <v>1171</v>
      </c>
      <c r="B178" s="18">
        <v>1374</v>
      </c>
      <c r="C178" s="18">
        <v>6</v>
      </c>
      <c r="D178" s="18">
        <v>1608</v>
      </c>
      <c r="E178" s="20">
        <v>0.85447761194029848</v>
      </c>
    </row>
    <row r="179" spans="1:5" x14ac:dyDescent="0.25">
      <c r="A179" s="17">
        <v>1172</v>
      </c>
      <c r="B179" s="18">
        <v>420</v>
      </c>
      <c r="C179" s="18">
        <v>4</v>
      </c>
      <c r="D179" s="18">
        <v>532</v>
      </c>
      <c r="E179" s="20">
        <v>0.78947368421052633</v>
      </c>
    </row>
    <row r="180" spans="1:5" x14ac:dyDescent="0.25">
      <c r="A180" s="17">
        <v>1173</v>
      </c>
      <c r="B180" s="18">
        <v>976</v>
      </c>
      <c r="C180" s="18">
        <v>2</v>
      </c>
      <c r="D180" s="18">
        <v>1219</v>
      </c>
      <c r="E180" s="20">
        <v>0.80065627563576702</v>
      </c>
    </row>
    <row r="181" spans="1:5" x14ac:dyDescent="0.25">
      <c r="A181" s="17">
        <v>1174</v>
      </c>
      <c r="B181" s="18">
        <v>1370</v>
      </c>
      <c r="C181" s="18">
        <v>10</v>
      </c>
      <c r="D181" s="18">
        <v>1771</v>
      </c>
      <c r="E181" s="20">
        <v>0.77357425183512141</v>
      </c>
    </row>
    <row r="182" spans="1:5" x14ac:dyDescent="0.25">
      <c r="A182" s="17">
        <v>1175</v>
      </c>
      <c r="B182" s="18">
        <v>470</v>
      </c>
      <c r="C182" s="18">
        <v>5</v>
      </c>
      <c r="D182" s="18">
        <v>429</v>
      </c>
      <c r="E182" s="20">
        <v>1.0955710955710956</v>
      </c>
    </row>
    <row r="183" spans="1:5" x14ac:dyDescent="0.25">
      <c r="A183" s="17">
        <v>1176</v>
      </c>
      <c r="B183" s="18">
        <v>3248</v>
      </c>
      <c r="C183" s="18">
        <v>8</v>
      </c>
      <c r="D183" s="18">
        <v>3016</v>
      </c>
      <c r="E183" s="20">
        <v>1.0769230769230769</v>
      </c>
    </row>
    <row r="184" spans="1:5" x14ac:dyDescent="0.25">
      <c r="A184" s="17">
        <v>1177</v>
      </c>
      <c r="B184" s="18">
        <v>162</v>
      </c>
      <c r="C184" s="18">
        <v>2</v>
      </c>
      <c r="D184" s="18">
        <v>184</v>
      </c>
      <c r="E184" s="20">
        <v>0.88043478260869568</v>
      </c>
    </row>
    <row r="185" spans="1:5" x14ac:dyDescent="0.25">
      <c r="A185" s="17">
        <v>1178</v>
      </c>
      <c r="B185" s="18">
        <v>2303</v>
      </c>
      <c r="C185" s="18">
        <v>7</v>
      </c>
      <c r="D185" s="18">
        <v>1858</v>
      </c>
      <c r="E185" s="20">
        <v>1.2395048439181917</v>
      </c>
    </row>
    <row r="186" spans="1:5" x14ac:dyDescent="0.25">
      <c r="A186" s="17">
        <v>1179</v>
      </c>
      <c r="B186" s="18">
        <v>112</v>
      </c>
      <c r="C186" s="18">
        <v>1</v>
      </c>
      <c r="D186" s="18">
        <v>90</v>
      </c>
      <c r="E186" s="20">
        <v>1.2444444444444445</v>
      </c>
    </row>
    <row r="187" spans="1:5" x14ac:dyDescent="0.25">
      <c r="A187" s="17">
        <v>1180</v>
      </c>
      <c r="B187" s="18">
        <v>3456</v>
      </c>
      <c r="C187" s="18">
        <v>8</v>
      </c>
      <c r="D187" s="18">
        <v>3927</v>
      </c>
      <c r="E187" s="20">
        <v>0.88006111535523301</v>
      </c>
    </row>
    <row r="188" spans="1:5" x14ac:dyDescent="0.25">
      <c r="A188" s="17">
        <v>1181</v>
      </c>
      <c r="B188" s="18">
        <v>264</v>
      </c>
      <c r="C188" s="18">
        <v>1</v>
      </c>
      <c r="D188" s="18">
        <v>215</v>
      </c>
      <c r="E188" s="20">
        <v>1.2279069767441861</v>
      </c>
    </row>
    <row r="189" spans="1:5" x14ac:dyDescent="0.25">
      <c r="A189" s="17">
        <v>1182</v>
      </c>
      <c r="B189" s="18">
        <v>2562</v>
      </c>
      <c r="C189" s="18">
        <v>7</v>
      </c>
      <c r="D189" s="18">
        <v>2893</v>
      </c>
      <c r="E189" s="20">
        <v>0.88558589699274115</v>
      </c>
    </row>
    <row r="190" spans="1:5" x14ac:dyDescent="0.25">
      <c r="A190" s="17">
        <v>1183</v>
      </c>
      <c r="B190" s="18">
        <v>2412</v>
      </c>
      <c r="C190" s="18">
        <v>9</v>
      </c>
      <c r="D190" s="18">
        <v>2648</v>
      </c>
      <c r="E190" s="20">
        <v>0.91087613293051362</v>
      </c>
    </row>
    <row r="191" spans="1:5" x14ac:dyDescent="0.25">
      <c r="A191" s="17">
        <v>1184</v>
      </c>
      <c r="B191" s="18">
        <v>1323</v>
      </c>
      <c r="C191" s="18">
        <v>9</v>
      </c>
      <c r="D191" s="18">
        <v>1232</v>
      </c>
      <c r="E191" s="20">
        <v>1.0738636363636365</v>
      </c>
    </row>
    <row r="192" spans="1:5" x14ac:dyDescent="0.25">
      <c r="A192" s="17">
        <v>1185</v>
      </c>
      <c r="B192" s="18">
        <v>485</v>
      </c>
      <c r="C192" s="18">
        <v>1</v>
      </c>
      <c r="D192" s="18">
        <v>512</v>
      </c>
      <c r="E192" s="20">
        <v>0.947265625</v>
      </c>
    </row>
    <row r="193" spans="1:5" x14ac:dyDescent="0.25">
      <c r="A193" s="17">
        <v>1186</v>
      </c>
      <c r="B193" s="18">
        <v>450</v>
      </c>
      <c r="C193" s="18">
        <v>1</v>
      </c>
      <c r="D193" s="18">
        <v>488</v>
      </c>
      <c r="E193" s="20">
        <v>0.92213114754098358</v>
      </c>
    </row>
    <row r="194" spans="1:5" x14ac:dyDescent="0.25">
      <c r="A194" s="17">
        <v>1187</v>
      </c>
      <c r="B194" s="18">
        <v>680</v>
      </c>
      <c r="C194" s="18">
        <v>8</v>
      </c>
      <c r="D194" s="18">
        <v>638</v>
      </c>
      <c r="E194" s="20">
        <v>1.0658307210031348</v>
      </c>
    </row>
    <row r="195" spans="1:5" x14ac:dyDescent="0.25">
      <c r="A195" s="17">
        <v>1188</v>
      </c>
      <c r="B195" s="18">
        <v>616</v>
      </c>
      <c r="C195" s="18">
        <v>7</v>
      </c>
      <c r="D195" s="18">
        <v>536</v>
      </c>
      <c r="E195" s="20">
        <v>1.1492537313432836</v>
      </c>
    </row>
    <row r="196" spans="1:5" x14ac:dyDescent="0.25">
      <c r="A196" s="17">
        <v>1189</v>
      </c>
      <c r="B196" s="18">
        <v>273</v>
      </c>
      <c r="C196" s="18">
        <v>3</v>
      </c>
      <c r="D196" s="18">
        <v>257</v>
      </c>
      <c r="E196" s="20">
        <v>1.0622568093385214</v>
      </c>
    </row>
    <row r="197" spans="1:5" x14ac:dyDescent="0.25">
      <c r="A197" s="17">
        <v>1190</v>
      </c>
      <c r="B197" s="18">
        <v>225</v>
      </c>
      <c r="C197" s="18">
        <v>9</v>
      </c>
      <c r="D197" s="18">
        <v>241</v>
      </c>
      <c r="E197" s="20">
        <v>0.93360995850622408</v>
      </c>
    </row>
    <row r="198" spans="1:5" x14ac:dyDescent="0.25">
      <c r="A198" s="17">
        <v>1191</v>
      </c>
      <c r="B198" s="18">
        <v>1260</v>
      </c>
      <c r="C198" s="18">
        <v>10</v>
      </c>
      <c r="D198" s="18">
        <v>1443</v>
      </c>
      <c r="E198" s="20">
        <v>0.87318087318087323</v>
      </c>
    </row>
    <row r="199" spans="1:5" x14ac:dyDescent="0.25">
      <c r="A199" s="17">
        <v>1192</v>
      </c>
      <c r="B199" s="18">
        <v>477</v>
      </c>
      <c r="C199" s="18">
        <v>3</v>
      </c>
      <c r="D199" s="18">
        <v>614</v>
      </c>
      <c r="E199" s="20">
        <v>0.77687296416938112</v>
      </c>
    </row>
    <row r="200" spans="1:5" x14ac:dyDescent="0.25">
      <c r="A200" s="17">
        <v>1193</v>
      </c>
      <c r="B200" s="18">
        <v>3792</v>
      </c>
      <c r="C200" s="18">
        <v>8</v>
      </c>
      <c r="D200" s="18">
        <v>3846</v>
      </c>
      <c r="E200" s="20">
        <v>0.98595943837753508</v>
      </c>
    </row>
    <row r="201" spans="1:5" x14ac:dyDescent="0.25">
      <c r="A201" s="17">
        <v>1194</v>
      </c>
      <c r="B201" s="18">
        <v>2055</v>
      </c>
      <c r="C201" s="18">
        <v>5</v>
      </c>
      <c r="D201" s="18">
        <v>1867</v>
      </c>
      <c r="E201" s="20">
        <v>1.1006963042313873</v>
      </c>
    </row>
    <row r="202" spans="1:5" x14ac:dyDescent="0.25">
      <c r="A202" s="17">
        <v>1195</v>
      </c>
      <c r="B202" s="18">
        <v>572</v>
      </c>
      <c r="C202" s="18">
        <v>4</v>
      </c>
      <c r="D202" s="18">
        <v>528</v>
      </c>
      <c r="E202" s="20">
        <v>1.0833333333333333</v>
      </c>
    </row>
    <row r="203" spans="1:5" x14ac:dyDescent="0.25">
      <c r="A203" s="17">
        <v>1196</v>
      </c>
      <c r="B203" s="18">
        <v>2947</v>
      </c>
      <c r="C203" s="18">
        <v>7</v>
      </c>
      <c r="D203" s="18">
        <v>3231</v>
      </c>
      <c r="E203" s="20">
        <v>0.91210151655834104</v>
      </c>
    </row>
    <row r="204" spans="1:5" x14ac:dyDescent="0.25">
      <c r="A204" s="17">
        <v>1197</v>
      </c>
      <c r="B204" s="18">
        <v>280</v>
      </c>
      <c r="C204" s="18">
        <v>8</v>
      </c>
      <c r="D204" s="18">
        <v>350</v>
      </c>
      <c r="E204" s="20">
        <v>0.8</v>
      </c>
    </row>
    <row r="205" spans="1:5" x14ac:dyDescent="0.25">
      <c r="A205" s="17">
        <v>1198</v>
      </c>
      <c r="B205" s="18">
        <v>1000</v>
      </c>
      <c r="C205" s="18">
        <v>4</v>
      </c>
      <c r="D205" s="18">
        <v>817</v>
      </c>
      <c r="E205" s="20">
        <v>1.2239902080783354</v>
      </c>
    </row>
    <row r="206" spans="1:5" x14ac:dyDescent="0.25">
      <c r="A206" s="17">
        <v>1199</v>
      </c>
      <c r="B206" s="18">
        <v>2112</v>
      </c>
      <c r="C206" s="18">
        <v>8</v>
      </c>
      <c r="D206" s="18">
        <v>2257</v>
      </c>
      <c r="E206" s="20">
        <v>0.93575542755870622</v>
      </c>
    </row>
    <row r="207" spans="1:5" x14ac:dyDescent="0.25">
      <c r="A207" s="17">
        <v>1200</v>
      </c>
      <c r="B207" s="18">
        <v>1455</v>
      </c>
      <c r="C207" s="18">
        <v>5</v>
      </c>
      <c r="D207" s="18">
        <v>1272</v>
      </c>
      <c r="E207" s="20">
        <v>1.1438679245283019</v>
      </c>
    </row>
    <row r="208" spans="1:5" x14ac:dyDescent="0.25">
      <c r="A208" s="17">
        <v>1201</v>
      </c>
      <c r="B208" s="18">
        <v>403</v>
      </c>
      <c r="C208" s="18">
        <v>1</v>
      </c>
      <c r="D208" s="18">
        <v>461</v>
      </c>
      <c r="E208" s="20">
        <v>0.87418655097613884</v>
      </c>
    </row>
    <row r="209" spans="1:5" x14ac:dyDescent="0.25">
      <c r="A209" s="17">
        <v>1202</v>
      </c>
      <c r="B209" s="18">
        <v>23</v>
      </c>
      <c r="C209" s="18">
        <v>1</v>
      </c>
      <c r="D209" s="18">
        <v>21</v>
      </c>
      <c r="E209" s="20">
        <v>1.0952380952380953</v>
      </c>
    </row>
    <row r="210" spans="1:5" x14ac:dyDescent="0.25">
      <c r="A210" s="17">
        <v>1203</v>
      </c>
      <c r="B210" s="18">
        <v>315</v>
      </c>
      <c r="C210" s="18">
        <v>3</v>
      </c>
      <c r="D210" s="18">
        <v>405</v>
      </c>
      <c r="E210" s="20">
        <v>0.77777777777777779</v>
      </c>
    </row>
    <row r="211" spans="1:5" x14ac:dyDescent="0.25">
      <c r="A211" s="17">
        <v>1204</v>
      </c>
      <c r="B211" s="18">
        <v>4257</v>
      </c>
      <c r="C211" s="18">
        <v>9</v>
      </c>
      <c r="D211" s="18">
        <v>4799</v>
      </c>
      <c r="E211" s="20">
        <v>0.88705980412585961</v>
      </c>
    </row>
    <row r="212" spans="1:5" x14ac:dyDescent="0.25">
      <c r="A212" s="17">
        <v>1205</v>
      </c>
      <c r="B212" s="18">
        <v>1611</v>
      </c>
      <c r="C212" s="18">
        <v>9</v>
      </c>
      <c r="D212" s="18">
        <v>1548</v>
      </c>
      <c r="E212" s="20">
        <v>1.0406976744186047</v>
      </c>
    </row>
    <row r="213" spans="1:5" x14ac:dyDescent="0.25">
      <c r="A213" s="17">
        <v>1206</v>
      </c>
      <c r="B213" s="18">
        <v>974</v>
      </c>
      <c r="C213" s="18">
        <v>2</v>
      </c>
      <c r="D213" s="18">
        <v>1138</v>
      </c>
      <c r="E213" s="20">
        <v>0.85588752196836559</v>
      </c>
    </row>
    <row r="214" spans="1:5" x14ac:dyDescent="0.25">
      <c r="A214" s="17">
        <v>1207</v>
      </c>
      <c r="B214" s="18">
        <v>830</v>
      </c>
      <c r="C214" s="18">
        <v>10</v>
      </c>
      <c r="D214" s="18">
        <v>845</v>
      </c>
      <c r="E214" s="20">
        <v>0.98224852071005919</v>
      </c>
    </row>
    <row r="215" spans="1:5" x14ac:dyDescent="0.25">
      <c r="A215" s="17">
        <v>1208</v>
      </c>
      <c r="B215" s="18">
        <v>1855</v>
      </c>
      <c r="C215" s="18">
        <v>5</v>
      </c>
      <c r="D215" s="18">
        <v>1986</v>
      </c>
      <c r="E215" s="20">
        <v>0.93403826787512589</v>
      </c>
    </row>
    <row r="216" spans="1:5" x14ac:dyDescent="0.25">
      <c r="A216" s="17">
        <v>1209</v>
      </c>
      <c r="B216" s="18">
        <v>2598</v>
      </c>
      <c r="C216" s="18">
        <v>6</v>
      </c>
      <c r="D216" s="18">
        <v>2176</v>
      </c>
      <c r="E216" s="20">
        <v>1.1939338235294117</v>
      </c>
    </row>
    <row r="217" spans="1:5" x14ac:dyDescent="0.25">
      <c r="A217" s="17">
        <v>1210</v>
      </c>
      <c r="B217" s="18">
        <v>2970</v>
      </c>
      <c r="C217" s="18">
        <v>10</v>
      </c>
      <c r="D217" s="18">
        <v>3612</v>
      </c>
      <c r="E217" s="20">
        <v>0.82225913621262459</v>
      </c>
    </row>
    <row r="218" spans="1:5" x14ac:dyDescent="0.25">
      <c r="A218" s="17">
        <v>1211</v>
      </c>
      <c r="B218" s="18">
        <v>1408</v>
      </c>
      <c r="C218" s="18">
        <v>8</v>
      </c>
      <c r="D218" s="18">
        <v>1550</v>
      </c>
      <c r="E218" s="20">
        <v>0.9083870967741936</v>
      </c>
    </row>
    <row r="219" spans="1:5" x14ac:dyDescent="0.25">
      <c r="A219" s="17">
        <v>1212</v>
      </c>
      <c r="B219" s="18">
        <v>148</v>
      </c>
      <c r="C219" s="18">
        <v>4</v>
      </c>
      <c r="D219" s="18">
        <v>177</v>
      </c>
      <c r="E219" s="20">
        <v>0.83615819209039544</v>
      </c>
    </row>
    <row r="220" spans="1:5" x14ac:dyDescent="0.25">
      <c r="A220" s="17">
        <v>1213</v>
      </c>
      <c r="B220" s="18">
        <v>252</v>
      </c>
      <c r="C220" s="18">
        <v>9</v>
      </c>
      <c r="D220" s="18">
        <v>326</v>
      </c>
      <c r="E220" s="20">
        <v>0.77300613496932513</v>
      </c>
    </row>
    <row r="221" spans="1:5" x14ac:dyDescent="0.25">
      <c r="A221" s="17">
        <v>1214</v>
      </c>
      <c r="B221" s="18">
        <v>600</v>
      </c>
      <c r="C221" s="18">
        <v>10</v>
      </c>
      <c r="D221" s="18">
        <v>496</v>
      </c>
      <c r="E221" s="20">
        <v>1.2096774193548387</v>
      </c>
    </row>
    <row r="222" spans="1:5" x14ac:dyDescent="0.25">
      <c r="A222" s="17">
        <v>1215</v>
      </c>
      <c r="B222" s="18">
        <v>1209</v>
      </c>
      <c r="C222" s="18">
        <v>3</v>
      </c>
      <c r="D222" s="18">
        <v>1241</v>
      </c>
      <c r="E222" s="20">
        <v>0.97421434327155521</v>
      </c>
    </row>
    <row r="223" spans="1:5" x14ac:dyDescent="0.25">
      <c r="A223" s="17">
        <v>1216</v>
      </c>
      <c r="B223" s="18">
        <v>714</v>
      </c>
      <c r="C223" s="18">
        <v>3</v>
      </c>
      <c r="D223" s="18">
        <v>791</v>
      </c>
      <c r="E223" s="20">
        <v>0.90265486725663713</v>
      </c>
    </row>
    <row r="224" spans="1:5" x14ac:dyDescent="0.25">
      <c r="A224" s="17">
        <v>1217</v>
      </c>
      <c r="B224" s="18">
        <v>112</v>
      </c>
      <c r="C224" s="18">
        <v>2</v>
      </c>
      <c r="D224" s="18">
        <v>119</v>
      </c>
      <c r="E224" s="20">
        <v>0.94117647058823528</v>
      </c>
    </row>
    <row r="225" spans="1:5" x14ac:dyDescent="0.25">
      <c r="A225" s="17">
        <v>1218</v>
      </c>
      <c r="B225" s="18">
        <v>2905</v>
      </c>
      <c r="C225" s="18">
        <v>7</v>
      </c>
      <c r="D225" s="18">
        <v>2372</v>
      </c>
      <c r="E225" s="20">
        <v>1.2247048903878583</v>
      </c>
    </row>
    <row r="226" spans="1:5" x14ac:dyDescent="0.25">
      <c r="A226" s="17">
        <v>1219</v>
      </c>
      <c r="B226" s="18">
        <v>3696</v>
      </c>
      <c r="C226" s="18">
        <v>8</v>
      </c>
      <c r="D226" s="18">
        <v>4176</v>
      </c>
      <c r="E226" s="20">
        <v>0.88505747126436785</v>
      </c>
    </row>
    <row r="227" spans="1:5" x14ac:dyDescent="0.25">
      <c r="A227" s="17">
        <v>1220</v>
      </c>
      <c r="B227" s="18">
        <v>620</v>
      </c>
      <c r="C227" s="18">
        <v>5</v>
      </c>
      <c r="D227" s="18">
        <v>691</v>
      </c>
      <c r="E227" s="20">
        <v>0.89725036179450068</v>
      </c>
    </row>
    <row r="228" spans="1:5" x14ac:dyDescent="0.25">
      <c r="A228" s="17">
        <v>1221</v>
      </c>
      <c r="B228" s="18">
        <v>1500</v>
      </c>
      <c r="C228" s="18">
        <v>6</v>
      </c>
      <c r="D228" s="18">
        <v>1882</v>
      </c>
      <c r="E228" s="20">
        <v>0.79702444208289058</v>
      </c>
    </row>
    <row r="229" spans="1:5" x14ac:dyDescent="0.25">
      <c r="A229" s="17">
        <v>1222</v>
      </c>
      <c r="B229" s="18">
        <v>2295</v>
      </c>
      <c r="C229" s="18">
        <v>9</v>
      </c>
      <c r="D229" s="18">
        <v>2912</v>
      </c>
      <c r="E229" s="20">
        <v>0.78811813186813184</v>
      </c>
    </row>
    <row r="230" spans="1:5" x14ac:dyDescent="0.25">
      <c r="A230" s="17">
        <v>1223</v>
      </c>
      <c r="B230" s="18">
        <v>3978</v>
      </c>
      <c r="C230" s="18">
        <v>9</v>
      </c>
      <c r="D230" s="18">
        <v>4445</v>
      </c>
      <c r="E230" s="20">
        <v>0.89493813273340828</v>
      </c>
    </row>
    <row r="231" spans="1:5" x14ac:dyDescent="0.25">
      <c r="A231" s="17">
        <v>1224</v>
      </c>
      <c r="B231" s="18">
        <v>3344</v>
      </c>
      <c r="C231" s="18">
        <v>8</v>
      </c>
      <c r="D231" s="18">
        <v>2793</v>
      </c>
      <c r="E231" s="20">
        <v>1.1972789115646258</v>
      </c>
    </row>
    <row r="232" spans="1:5" x14ac:dyDescent="0.25">
      <c r="A232" s="17">
        <v>1225</v>
      </c>
      <c r="B232" s="18">
        <v>1280</v>
      </c>
      <c r="C232" s="18">
        <v>10</v>
      </c>
      <c r="D232" s="18">
        <v>1310</v>
      </c>
      <c r="E232" s="20">
        <v>0.97709923664122134</v>
      </c>
    </row>
    <row r="233" spans="1:5" x14ac:dyDescent="0.25">
      <c r="A233" s="17">
        <v>1226</v>
      </c>
      <c r="B233" s="18">
        <v>1896</v>
      </c>
      <c r="C233" s="18">
        <v>6</v>
      </c>
      <c r="D233" s="18">
        <v>1768</v>
      </c>
      <c r="E233" s="20">
        <v>1.0723981900452488</v>
      </c>
    </row>
    <row r="234" spans="1:5" x14ac:dyDescent="0.25">
      <c r="A234" s="17">
        <v>1227</v>
      </c>
      <c r="B234" s="18">
        <v>455</v>
      </c>
      <c r="C234" s="18">
        <v>1</v>
      </c>
      <c r="D234" s="18">
        <v>419</v>
      </c>
      <c r="E234" s="20">
        <v>1.0859188544152745</v>
      </c>
    </row>
    <row r="235" spans="1:5" x14ac:dyDescent="0.25">
      <c r="A235" s="17">
        <v>1228</v>
      </c>
      <c r="B235" s="18">
        <v>684</v>
      </c>
      <c r="C235" s="18">
        <v>3</v>
      </c>
      <c r="D235" s="18">
        <v>856</v>
      </c>
      <c r="E235" s="20">
        <v>0.7990654205607477</v>
      </c>
    </row>
    <row r="236" spans="1:5" x14ac:dyDescent="0.25">
      <c r="A236" s="17">
        <v>1229</v>
      </c>
      <c r="B236" s="18">
        <v>784</v>
      </c>
      <c r="C236" s="18">
        <v>2</v>
      </c>
      <c r="D236" s="18">
        <v>736</v>
      </c>
      <c r="E236" s="20">
        <v>1.0652173913043479</v>
      </c>
    </row>
    <row r="237" spans="1:5" x14ac:dyDescent="0.25">
      <c r="A237" s="17">
        <v>1230</v>
      </c>
      <c r="B237" s="18">
        <v>973</v>
      </c>
      <c r="C237" s="18">
        <v>7</v>
      </c>
      <c r="D237" s="18">
        <v>891</v>
      </c>
      <c r="E237" s="20">
        <v>1.0920314253647587</v>
      </c>
    </row>
    <row r="238" spans="1:5" x14ac:dyDescent="0.25">
      <c r="A238" s="17">
        <v>1231</v>
      </c>
      <c r="B238" s="18">
        <v>560</v>
      </c>
      <c r="C238" s="18">
        <v>10</v>
      </c>
      <c r="D238" s="18">
        <v>624</v>
      </c>
      <c r="E238" s="20">
        <v>0.89743589743589747</v>
      </c>
    </row>
    <row r="239" spans="1:5" x14ac:dyDescent="0.25">
      <c r="A239" s="17">
        <v>1232</v>
      </c>
      <c r="B239" s="18">
        <v>2000</v>
      </c>
      <c r="C239" s="18">
        <v>8</v>
      </c>
      <c r="D239" s="18">
        <v>1691</v>
      </c>
      <c r="E239" s="20">
        <v>1.1827321111768185</v>
      </c>
    </row>
    <row r="240" spans="1:5" x14ac:dyDescent="0.25">
      <c r="A240" s="17">
        <v>1233</v>
      </c>
      <c r="B240" s="18">
        <v>1128</v>
      </c>
      <c r="C240" s="18">
        <v>3</v>
      </c>
      <c r="D240" s="18">
        <v>1149</v>
      </c>
      <c r="E240" s="20">
        <v>0.98172323759791125</v>
      </c>
    </row>
    <row r="241" spans="1:5" x14ac:dyDescent="0.25">
      <c r="A241" s="17">
        <v>1234</v>
      </c>
      <c r="B241" s="18">
        <v>2646</v>
      </c>
      <c r="C241" s="18">
        <v>6</v>
      </c>
      <c r="D241" s="18">
        <v>3209</v>
      </c>
      <c r="E241" s="20">
        <v>0.82455593642879399</v>
      </c>
    </row>
    <row r="242" spans="1:5" x14ac:dyDescent="0.25">
      <c r="A242" s="17">
        <v>1235</v>
      </c>
      <c r="B242" s="18">
        <v>2170</v>
      </c>
      <c r="C242" s="18">
        <v>7</v>
      </c>
      <c r="D242" s="18">
        <v>2511</v>
      </c>
      <c r="E242" s="20">
        <v>0.86419753086419748</v>
      </c>
    </row>
    <row r="243" spans="1:5" x14ac:dyDescent="0.25">
      <c r="A243" s="17">
        <v>1236</v>
      </c>
      <c r="B243" s="18">
        <v>2430</v>
      </c>
      <c r="C243" s="18">
        <v>6</v>
      </c>
      <c r="D243" s="18">
        <v>2605</v>
      </c>
      <c r="E243" s="20">
        <v>0.93282149712092133</v>
      </c>
    </row>
    <row r="244" spans="1:5" x14ac:dyDescent="0.25">
      <c r="A244" s="17">
        <v>1237</v>
      </c>
      <c r="B244" s="18">
        <v>425</v>
      </c>
      <c r="C244" s="18">
        <v>1</v>
      </c>
      <c r="D244" s="18">
        <v>481</v>
      </c>
      <c r="E244" s="20">
        <v>0.88357588357588357</v>
      </c>
    </row>
    <row r="245" spans="1:5" x14ac:dyDescent="0.25">
      <c r="A245" s="17">
        <v>1238</v>
      </c>
      <c r="B245" s="18">
        <v>175</v>
      </c>
      <c r="C245" s="18">
        <v>1</v>
      </c>
      <c r="D245" s="18">
        <v>169</v>
      </c>
      <c r="E245" s="20">
        <v>1.0355029585798816</v>
      </c>
    </row>
    <row r="246" spans="1:5" x14ac:dyDescent="0.25">
      <c r="A246" s="17">
        <v>1239</v>
      </c>
      <c r="B246" s="18">
        <v>450</v>
      </c>
      <c r="C246" s="18">
        <v>3</v>
      </c>
      <c r="D246" s="18">
        <v>441</v>
      </c>
      <c r="E246" s="20">
        <v>1.0204081632653061</v>
      </c>
    </row>
    <row r="247" spans="1:5" x14ac:dyDescent="0.25">
      <c r="A247" s="17">
        <v>1240</v>
      </c>
      <c r="B247" s="18">
        <v>1267</v>
      </c>
      <c r="C247" s="18">
        <v>7</v>
      </c>
      <c r="D247" s="18">
        <v>1236</v>
      </c>
      <c r="E247" s="20">
        <v>1.0250809061488673</v>
      </c>
    </row>
    <row r="248" spans="1:5" x14ac:dyDescent="0.25">
      <c r="A248" s="17">
        <v>1241</v>
      </c>
      <c r="B248" s="18">
        <v>55</v>
      </c>
      <c r="C248" s="18">
        <v>1</v>
      </c>
      <c r="D248" s="18">
        <v>60</v>
      </c>
      <c r="E248" s="20">
        <v>0.91666666666666663</v>
      </c>
    </row>
    <row r="249" spans="1:5" x14ac:dyDescent="0.25">
      <c r="A249" s="17">
        <v>1242</v>
      </c>
      <c r="B249" s="18">
        <v>240</v>
      </c>
      <c r="C249" s="18">
        <v>6</v>
      </c>
      <c r="D249" s="18">
        <v>299</v>
      </c>
      <c r="E249" s="20">
        <v>0.80267558528428096</v>
      </c>
    </row>
    <row r="250" spans="1:5" x14ac:dyDescent="0.25">
      <c r="A250" s="17">
        <v>1243</v>
      </c>
      <c r="B250" s="18">
        <v>144</v>
      </c>
      <c r="C250" s="18">
        <v>2</v>
      </c>
      <c r="D250" s="18">
        <v>176</v>
      </c>
      <c r="E250" s="20">
        <v>0.81818181818181823</v>
      </c>
    </row>
    <row r="251" spans="1:5" x14ac:dyDescent="0.25">
      <c r="A251" s="17">
        <v>1244</v>
      </c>
      <c r="B251" s="18">
        <v>858</v>
      </c>
      <c r="C251" s="18">
        <v>2</v>
      </c>
      <c r="D251" s="18">
        <v>787</v>
      </c>
      <c r="E251" s="20">
        <v>1.0902160101651843</v>
      </c>
    </row>
    <row r="252" spans="1:5" x14ac:dyDescent="0.25">
      <c r="A252" s="17">
        <v>1245</v>
      </c>
      <c r="B252" s="18">
        <v>830</v>
      </c>
      <c r="C252" s="18">
        <v>5</v>
      </c>
      <c r="D252" s="18">
        <v>825</v>
      </c>
      <c r="E252" s="20">
        <v>1.0060606060606061</v>
      </c>
    </row>
    <row r="253" spans="1:5" x14ac:dyDescent="0.25">
      <c r="A253" s="17">
        <v>1246</v>
      </c>
      <c r="B253" s="18">
        <v>1407</v>
      </c>
      <c r="C253" s="18">
        <v>3</v>
      </c>
      <c r="D253" s="18">
        <v>1137</v>
      </c>
      <c r="E253" s="20">
        <v>1.237467018469657</v>
      </c>
    </row>
    <row r="254" spans="1:5" x14ac:dyDescent="0.25">
      <c r="A254" s="17">
        <v>1247</v>
      </c>
      <c r="B254" s="18">
        <v>432</v>
      </c>
      <c r="C254" s="18">
        <v>2</v>
      </c>
      <c r="D254" s="18">
        <v>505</v>
      </c>
      <c r="E254" s="20">
        <v>0.85544554455445543</v>
      </c>
    </row>
    <row r="255" spans="1:5" x14ac:dyDescent="0.25">
      <c r="A255" s="17">
        <v>1248</v>
      </c>
      <c r="B255" s="18">
        <v>1965</v>
      </c>
      <c r="C255" s="18">
        <v>5</v>
      </c>
      <c r="D255" s="18">
        <v>1949</v>
      </c>
      <c r="E255" s="20">
        <v>1.008209338122114</v>
      </c>
    </row>
    <row r="256" spans="1:5" x14ac:dyDescent="0.25">
      <c r="A256" s="17">
        <v>1249</v>
      </c>
      <c r="B256" s="18">
        <v>246</v>
      </c>
      <c r="C256" s="18">
        <v>1</v>
      </c>
      <c r="D256" s="18">
        <v>217</v>
      </c>
      <c r="E256" s="20">
        <v>1.1336405529953917</v>
      </c>
    </row>
    <row r="257" spans="1:5" x14ac:dyDescent="0.25">
      <c r="A257" s="17">
        <v>1250</v>
      </c>
      <c r="B257" s="18">
        <v>792</v>
      </c>
      <c r="C257" s="18">
        <v>2</v>
      </c>
      <c r="D257" s="18">
        <v>812</v>
      </c>
      <c r="E257" s="20">
        <v>0.97536945812807885</v>
      </c>
    </row>
    <row r="258" spans="1:5" x14ac:dyDescent="0.25">
      <c r="A258" s="17">
        <v>1251</v>
      </c>
      <c r="B258" s="18">
        <v>441</v>
      </c>
      <c r="C258" s="18">
        <v>3</v>
      </c>
      <c r="D258" s="18">
        <v>431</v>
      </c>
      <c r="E258" s="20">
        <v>1.0232018561484919</v>
      </c>
    </row>
    <row r="259" spans="1:5" x14ac:dyDescent="0.25">
      <c r="A259" s="17">
        <v>1252</v>
      </c>
      <c r="B259" s="18">
        <v>456</v>
      </c>
      <c r="C259" s="18">
        <v>1</v>
      </c>
      <c r="D259" s="18">
        <v>550</v>
      </c>
      <c r="E259" s="20">
        <v>0.8290909090909091</v>
      </c>
    </row>
    <row r="260" spans="1:5" x14ac:dyDescent="0.25">
      <c r="A260" s="17">
        <v>1253</v>
      </c>
      <c r="B260" s="18">
        <v>1076</v>
      </c>
      <c r="C260" s="18">
        <v>4</v>
      </c>
      <c r="D260" s="18">
        <v>962</v>
      </c>
      <c r="E260" s="20">
        <v>1.1185031185031185</v>
      </c>
    </row>
    <row r="261" spans="1:5" x14ac:dyDescent="0.25">
      <c r="A261" s="17">
        <v>1254</v>
      </c>
      <c r="B261" s="18">
        <v>1206</v>
      </c>
      <c r="C261" s="18">
        <v>9</v>
      </c>
      <c r="D261" s="18">
        <v>1159</v>
      </c>
      <c r="E261" s="20">
        <v>1.0405522001725624</v>
      </c>
    </row>
    <row r="262" spans="1:5" x14ac:dyDescent="0.25">
      <c r="A262" s="17">
        <v>1255</v>
      </c>
      <c r="B262" s="18">
        <v>3840</v>
      </c>
      <c r="C262" s="18">
        <v>8</v>
      </c>
      <c r="D262" s="18">
        <v>4819</v>
      </c>
      <c r="E262" s="20">
        <v>0.79684581863457149</v>
      </c>
    </row>
    <row r="263" spans="1:5" x14ac:dyDescent="0.25">
      <c r="A263" s="17">
        <v>1256</v>
      </c>
      <c r="B263" s="18">
        <v>1992</v>
      </c>
      <c r="C263" s="18">
        <v>8</v>
      </c>
      <c r="D263" s="18">
        <v>2267</v>
      </c>
      <c r="E263" s="20">
        <v>0.87869430966034412</v>
      </c>
    </row>
    <row r="264" spans="1:5" x14ac:dyDescent="0.25">
      <c r="A264" s="17">
        <v>1257</v>
      </c>
      <c r="B264" s="18">
        <v>600</v>
      </c>
      <c r="C264" s="18">
        <v>2</v>
      </c>
      <c r="D264" s="18">
        <v>567</v>
      </c>
      <c r="E264" s="20">
        <v>1.0582010582010581</v>
      </c>
    </row>
    <row r="265" spans="1:5" x14ac:dyDescent="0.25">
      <c r="A265" s="17">
        <v>1258</v>
      </c>
      <c r="B265" s="18">
        <v>1266</v>
      </c>
      <c r="C265" s="18">
        <v>3</v>
      </c>
      <c r="D265" s="18">
        <v>1096</v>
      </c>
      <c r="E265" s="20">
        <v>1.1551094890510949</v>
      </c>
    </row>
    <row r="266" spans="1:5" x14ac:dyDescent="0.25">
      <c r="A266" s="17">
        <v>1259</v>
      </c>
      <c r="B266" s="18">
        <v>985</v>
      </c>
      <c r="C266" s="18">
        <v>5</v>
      </c>
      <c r="D266" s="18">
        <v>942</v>
      </c>
      <c r="E266" s="20">
        <v>1.045647558386412</v>
      </c>
    </row>
    <row r="267" spans="1:5" x14ac:dyDescent="0.25">
      <c r="A267" s="17">
        <v>1260</v>
      </c>
      <c r="B267" s="18">
        <v>1407</v>
      </c>
      <c r="C267" s="18">
        <v>3</v>
      </c>
      <c r="D267" s="18">
        <v>1744</v>
      </c>
      <c r="E267" s="20">
        <v>0.80676605504587151</v>
      </c>
    </row>
    <row r="268" spans="1:5" x14ac:dyDescent="0.25">
      <c r="A268" s="17">
        <v>1261</v>
      </c>
      <c r="B268" s="18">
        <v>70</v>
      </c>
      <c r="C268" s="18">
        <v>5</v>
      </c>
      <c r="D268" s="18">
        <v>71</v>
      </c>
      <c r="E268" s="20">
        <v>0.9859154929577465</v>
      </c>
    </row>
    <row r="269" spans="1:5" x14ac:dyDescent="0.25">
      <c r="A269" s="17">
        <v>1262</v>
      </c>
      <c r="B269" s="18">
        <v>1856</v>
      </c>
      <c r="C269" s="18">
        <v>4</v>
      </c>
      <c r="D269" s="18">
        <v>2365</v>
      </c>
      <c r="E269" s="20">
        <v>0.78477801268498948</v>
      </c>
    </row>
    <row r="270" spans="1:5" x14ac:dyDescent="0.25">
      <c r="A270" s="17">
        <v>1263</v>
      </c>
      <c r="B270" s="18">
        <v>1020</v>
      </c>
      <c r="C270" s="18">
        <v>6</v>
      </c>
      <c r="D270" s="18">
        <v>826</v>
      </c>
      <c r="E270" s="20">
        <v>1.2348668280871671</v>
      </c>
    </row>
    <row r="271" spans="1:5" x14ac:dyDescent="0.25">
      <c r="A271" s="17">
        <v>1264</v>
      </c>
      <c r="B271" s="18">
        <v>408</v>
      </c>
      <c r="C271" s="18">
        <v>8</v>
      </c>
      <c r="D271" s="18">
        <v>422</v>
      </c>
      <c r="E271" s="20">
        <v>0.96682464454976302</v>
      </c>
    </row>
    <row r="272" spans="1:5" x14ac:dyDescent="0.25">
      <c r="A272" s="17">
        <v>1265</v>
      </c>
      <c r="B272" s="18">
        <v>912</v>
      </c>
      <c r="C272" s="18">
        <v>6</v>
      </c>
      <c r="D272" s="18">
        <v>923</v>
      </c>
      <c r="E272" s="20">
        <v>0.98808234019501628</v>
      </c>
    </row>
    <row r="273" spans="1:5" x14ac:dyDescent="0.25">
      <c r="A273" s="17">
        <v>1266</v>
      </c>
      <c r="B273" s="18">
        <v>885</v>
      </c>
      <c r="C273" s="18">
        <v>5</v>
      </c>
      <c r="D273" s="18">
        <v>1059</v>
      </c>
      <c r="E273" s="20">
        <v>0.8356940509915014</v>
      </c>
    </row>
    <row r="274" spans="1:5" x14ac:dyDescent="0.25">
      <c r="A274" s="17">
        <v>1267</v>
      </c>
      <c r="B274" s="18">
        <v>2320</v>
      </c>
      <c r="C274" s="18">
        <v>5</v>
      </c>
      <c r="D274" s="18">
        <v>2845</v>
      </c>
      <c r="E274" s="20">
        <v>0.81546572934973638</v>
      </c>
    </row>
    <row r="275" spans="1:5" x14ac:dyDescent="0.25">
      <c r="A275" s="17">
        <v>1268</v>
      </c>
      <c r="B275" s="18">
        <v>1086</v>
      </c>
      <c r="C275" s="18">
        <v>6</v>
      </c>
      <c r="D275" s="18">
        <v>1025</v>
      </c>
      <c r="E275" s="20">
        <v>1.0595121951219513</v>
      </c>
    </row>
    <row r="276" spans="1:5" x14ac:dyDescent="0.25">
      <c r="A276" s="17">
        <v>1269</v>
      </c>
      <c r="B276" s="18">
        <v>918</v>
      </c>
      <c r="C276" s="18">
        <v>9</v>
      </c>
      <c r="D276" s="18">
        <v>738</v>
      </c>
      <c r="E276" s="20">
        <v>1.2439024390243902</v>
      </c>
    </row>
    <row r="277" spans="1:5" x14ac:dyDescent="0.25">
      <c r="A277" s="17">
        <v>1270</v>
      </c>
      <c r="B277" s="18">
        <v>392</v>
      </c>
      <c r="C277" s="18">
        <v>8</v>
      </c>
      <c r="D277" s="18">
        <v>432</v>
      </c>
      <c r="E277" s="20">
        <v>0.90740740740740744</v>
      </c>
    </row>
    <row r="278" spans="1:5" x14ac:dyDescent="0.25">
      <c r="A278" s="17">
        <v>1271</v>
      </c>
      <c r="B278" s="18">
        <v>1341</v>
      </c>
      <c r="C278" s="18">
        <v>3</v>
      </c>
      <c r="D278" s="18">
        <v>1073</v>
      </c>
      <c r="E278" s="20">
        <v>1.2497670083876979</v>
      </c>
    </row>
    <row r="279" spans="1:5" x14ac:dyDescent="0.25">
      <c r="A279" s="17">
        <v>1272</v>
      </c>
      <c r="B279" s="18">
        <v>162</v>
      </c>
      <c r="C279" s="18">
        <v>6</v>
      </c>
      <c r="D279" s="18">
        <v>190</v>
      </c>
      <c r="E279" s="20">
        <v>0.85263157894736841</v>
      </c>
    </row>
    <row r="280" spans="1:5" x14ac:dyDescent="0.25">
      <c r="A280" s="17">
        <v>1273</v>
      </c>
      <c r="B280" s="18">
        <v>4086</v>
      </c>
      <c r="C280" s="18">
        <v>9</v>
      </c>
      <c r="D280" s="18">
        <v>3629</v>
      </c>
      <c r="E280" s="20">
        <v>1.1259300082667401</v>
      </c>
    </row>
    <row r="281" spans="1:5" x14ac:dyDescent="0.25">
      <c r="A281" s="17">
        <v>1274</v>
      </c>
      <c r="B281" s="18">
        <v>1932</v>
      </c>
      <c r="C281" s="18">
        <v>6</v>
      </c>
      <c r="D281" s="18">
        <v>1761</v>
      </c>
      <c r="E281" s="20">
        <v>1.0971039182282794</v>
      </c>
    </row>
    <row r="282" spans="1:5" x14ac:dyDescent="0.25">
      <c r="A282" s="17">
        <v>1275</v>
      </c>
      <c r="B282" s="18">
        <v>336</v>
      </c>
      <c r="C282" s="18">
        <v>8</v>
      </c>
      <c r="D282" s="18">
        <v>354</v>
      </c>
      <c r="E282" s="20">
        <v>0.94915254237288138</v>
      </c>
    </row>
    <row r="283" spans="1:5" x14ac:dyDescent="0.25">
      <c r="A283" s="17">
        <v>1276</v>
      </c>
      <c r="B283" s="18">
        <v>722</v>
      </c>
      <c r="C283" s="18">
        <v>2</v>
      </c>
      <c r="D283" s="18">
        <v>660</v>
      </c>
      <c r="E283" s="20">
        <v>1.093939393939394</v>
      </c>
    </row>
    <row r="284" spans="1:5" x14ac:dyDescent="0.25">
      <c r="A284" s="17">
        <v>1277</v>
      </c>
      <c r="B284" s="18">
        <v>161</v>
      </c>
      <c r="C284" s="18">
        <v>7</v>
      </c>
      <c r="D284" s="18">
        <v>206</v>
      </c>
      <c r="E284" s="20">
        <v>0.78155339805825241</v>
      </c>
    </row>
    <row r="285" spans="1:5" x14ac:dyDescent="0.25">
      <c r="A285" s="17">
        <v>1278</v>
      </c>
      <c r="B285" s="18">
        <v>3070</v>
      </c>
      <c r="C285" s="18">
        <v>10</v>
      </c>
      <c r="D285" s="18">
        <v>3018</v>
      </c>
      <c r="E285" s="20">
        <v>1.0172299536116634</v>
      </c>
    </row>
    <row r="286" spans="1:5" x14ac:dyDescent="0.25">
      <c r="A286" s="17">
        <v>1279</v>
      </c>
      <c r="B286" s="18">
        <v>2550</v>
      </c>
      <c r="C286" s="18">
        <v>10</v>
      </c>
      <c r="D286" s="18">
        <v>2901</v>
      </c>
      <c r="E286" s="20">
        <v>0.87900723888314369</v>
      </c>
    </row>
    <row r="287" spans="1:5" x14ac:dyDescent="0.25">
      <c r="A287" s="17">
        <v>1280</v>
      </c>
      <c r="B287" s="18">
        <v>1200</v>
      </c>
      <c r="C287" s="18">
        <v>10</v>
      </c>
      <c r="D287" s="18">
        <v>1350</v>
      </c>
      <c r="E287" s="20">
        <v>0.88888888888888884</v>
      </c>
    </row>
    <row r="288" spans="1:5" x14ac:dyDescent="0.25">
      <c r="A288" s="17">
        <v>1281</v>
      </c>
      <c r="B288" s="18">
        <v>2540</v>
      </c>
      <c r="C288" s="18">
        <v>10</v>
      </c>
      <c r="D288" s="18">
        <v>2766</v>
      </c>
      <c r="E288" s="20">
        <v>0.91829356471438905</v>
      </c>
    </row>
    <row r="289" spans="1:5" x14ac:dyDescent="0.25">
      <c r="A289" s="17">
        <v>1282</v>
      </c>
      <c r="B289" s="18">
        <v>1236</v>
      </c>
      <c r="C289" s="18">
        <v>6</v>
      </c>
      <c r="D289" s="18">
        <v>1306</v>
      </c>
      <c r="E289" s="20">
        <v>0.94640122511485447</v>
      </c>
    </row>
    <row r="290" spans="1:5" x14ac:dyDescent="0.25">
      <c r="A290" s="17">
        <v>1283</v>
      </c>
      <c r="B290" s="18">
        <v>474</v>
      </c>
      <c r="C290" s="18">
        <v>6</v>
      </c>
      <c r="D290" s="18">
        <v>570</v>
      </c>
      <c r="E290" s="20">
        <v>0.83157894736842108</v>
      </c>
    </row>
    <row r="291" spans="1:5" x14ac:dyDescent="0.25">
      <c r="A291" s="17">
        <v>1284</v>
      </c>
      <c r="B291" s="18">
        <v>455</v>
      </c>
      <c r="C291" s="18">
        <v>1</v>
      </c>
      <c r="D291" s="18">
        <v>487</v>
      </c>
      <c r="E291" s="20">
        <v>0.93429158110882959</v>
      </c>
    </row>
    <row r="292" spans="1:5" x14ac:dyDescent="0.25">
      <c r="A292" s="17">
        <v>1285</v>
      </c>
      <c r="B292" s="18">
        <v>3042</v>
      </c>
      <c r="C292" s="18">
        <v>9</v>
      </c>
      <c r="D292" s="18">
        <v>3099</v>
      </c>
      <c r="E292" s="20">
        <v>0.98160696999031949</v>
      </c>
    </row>
    <row r="293" spans="1:5" x14ac:dyDescent="0.25">
      <c r="A293" s="17">
        <v>1286</v>
      </c>
      <c r="B293" s="18">
        <v>414</v>
      </c>
      <c r="C293" s="18">
        <v>2</v>
      </c>
      <c r="D293" s="18">
        <v>436</v>
      </c>
      <c r="E293" s="20">
        <v>0.94954128440366969</v>
      </c>
    </row>
    <row r="294" spans="1:5" x14ac:dyDescent="0.25">
      <c r="A294" s="17">
        <v>1287</v>
      </c>
      <c r="B294" s="18">
        <v>234</v>
      </c>
      <c r="C294" s="18">
        <v>9</v>
      </c>
      <c r="D294" s="18">
        <v>276</v>
      </c>
      <c r="E294" s="20">
        <v>0.84782608695652173</v>
      </c>
    </row>
    <row r="295" spans="1:5" x14ac:dyDescent="0.25">
      <c r="A295" s="17">
        <v>1288</v>
      </c>
      <c r="B295" s="18">
        <v>2672</v>
      </c>
      <c r="C295" s="18">
        <v>8</v>
      </c>
      <c r="D295" s="18">
        <v>2260</v>
      </c>
      <c r="E295" s="20">
        <v>1.1823008849557521</v>
      </c>
    </row>
    <row r="296" spans="1:5" x14ac:dyDescent="0.25">
      <c r="A296" s="17">
        <v>1289</v>
      </c>
      <c r="B296" s="18">
        <v>2400</v>
      </c>
      <c r="C296" s="18">
        <v>10</v>
      </c>
      <c r="D296" s="18">
        <v>2991</v>
      </c>
      <c r="E296" s="20">
        <v>0.80240722166499501</v>
      </c>
    </row>
    <row r="297" spans="1:5" x14ac:dyDescent="0.25">
      <c r="A297" s="17">
        <v>1290</v>
      </c>
      <c r="B297" s="18">
        <v>433</v>
      </c>
      <c r="C297" s="18">
        <v>1</v>
      </c>
      <c r="D297" s="18">
        <v>352</v>
      </c>
      <c r="E297" s="20">
        <v>1.2301136363636365</v>
      </c>
    </row>
    <row r="298" spans="1:5" x14ac:dyDescent="0.25">
      <c r="A298" s="17">
        <v>1291</v>
      </c>
      <c r="B298" s="18">
        <v>675</v>
      </c>
      <c r="C298" s="18">
        <v>3</v>
      </c>
      <c r="D298" s="18">
        <v>558</v>
      </c>
      <c r="E298" s="20">
        <v>1.2096774193548387</v>
      </c>
    </row>
    <row r="299" spans="1:5" x14ac:dyDescent="0.25">
      <c r="A299" s="17">
        <v>1292</v>
      </c>
      <c r="B299" s="18">
        <v>4239</v>
      </c>
      <c r="C299" s="18">
        <v>9</v>
      </c>
      <c r="D299" s="18">
        <v>4242</v>
      </c>
      <c r="E299" s="20">
        <v>0.99929278642149932</v>
      </c>
    </row>
    <row r="300" spans="1:5" x14ac:dyDescent="0.25">
      <c r="A300" s="17">
        <v>1293</v>
      </c>
      <c r="B300" s="18">
        <v>330</v>
      </c>
      <c r="C300" s="18">
        <v>5</v>
      </c>
      <c r="D300" s="18">
        <v>366</v>
      </c>
      <c r="E300" s="20">
        <v>0.90163934426229508</v>
      </c>
    </row>
    <row r="301" spans="1:5" x14ac:dyDescent="0.25">
      <c r="A301" s="17">
        <v>1294</v>
      </c>
      <c r="B301" s="18">
        <v>1221</v>
      </c>
      <c r="C301" s="18">
        <v>3</v>
      </c>
      <c r="D301" s="18">
        <v>1332</v>
      </c>
      <c r="E301" s="20">
        <v>0.91666666666666663</v>
      </c>
    </row>
    <row r="302" spans="1:5" x14ac:dyDescent="0.25">
      <c r="A302" s="17">
        <v>1295</v>
      </c>
      <c r="B302" s="18">
        <v>1764</v>
      </c>
      <c r="C302" s="18">
        <v>9</v>
      </c>
      <c r="D302" s="18">
        <v>1933</v>
      </c>
      <c r="E302" s="20">
        <v>0.91257113295395753</v>
      </c>
    </row>
    <row r="303" spans="1:5" x14ac:dyDescent="0.25">
      <c r="A303" s="17">
        <v>1296</v>
      </c>
      <c r="B303" s="18">
        <v>148</v>
      </c>
      <c r="C303" s="18">
        <v>4</v>
      </c>
      <c r="D303" s="18">
        <v>120</v>
      </c>
      <c r="E303" s="20">
        <v>1.2333333333333334</v>
      </c>
    </row>
    <row r="304" spans="1:5" x14ac:dyDescent="0.25">
      <c r="A304" s="17">
        <v>1297</v>
      </c>
      <c r="B304" s="18">
        <v>2425</v>
      </c>
      <c r="C304" s="18">
        <v>5</v>
      </c>
      <c r="D304" s="18">
        <v>2514</v>
      </c>
      <c r="E304" s="20">
        <v>0.96459824980111375</v>
      </c>
    </row>
    <row r="305" spans="1:5" x14ac:dyDescent="0.25">
      <c r="A305" s="17">
        <v>1298</v>
      </c>
      <c r="B305" s="18">
        <v>328</v>
      </c>
      <c r="C305" s="18">
        <v>2</v>
      </c>
      <c r="D305" s="18">
        <v>367</v>
      </c>
      <c r="E305" s="20">
        <v>0.89373297002724794</v>
      </c>
    </row>
    <row r="306" spans="1:5" x14ac:dyDescent="0.25">
      <c r="A306" s="17">
        <v>1299</v>
      </c>
      <c r="B306" s="18">
        <v>954</v>
      </c>
      <c r="C306" s="18">
        <v>3</v>
      </c>
      <c r="D306" s="18">
        <v>1075</v>
      </c>
      <c r="E306" s="20">
        <v>0.88744186046511631</v>
      </c>
    </row>
    <row r="307" spans="1:5" x14ac:dyDescent="0.25">
      <c r="A307" s="17">
        <v>1300</v>
      </c>
      <c r="B307" s="18">
        <v>648</v>
      </c>
      <c r="C307" s="18">
        <v>3</v>
      </c>
      <c r="D307" s="18">
        <v>650</v>
      </c>
      <c r="E307" s="20">
        <v>0.99692307692307691</v>
      </c>
    </row>
    <row r="308" spans="1:5" x14ac:dyDescent="0.25">
      <c r="A308" s="17">
        <v>1301</v>
      </c>
      <c r="B308" s="18">
        <v>1512</v>
      </c>
      <c r="C308" s="18">
        <v>6</v>
      </c>
      <c r="D308" s="18">
        <v>1554</v>
      </c>
      <c r="E308" s="20">
        <v>0.97297297297297303</v>
      </c>
    </row>
    <row r="309" spans="1:5" x14ac:dyDescent="0.25">
      <c r="A309" s="17">
        <v>1302</v>
      </c>
      <c r="B309" s="18">
        <v>2526</v>
      </c>
      <c r="C309" s="18">
        <v>6</v>
      </c>
      <c r="D309" s="18">
        <v>2451</v>
      </c>
      <c r="E309" s="20">
        <v>1.0305997552019583</v>
      </c>
    </row>
    <row r="310" spans="1:5" x14ac:dyDescent="0.25">
      <c r="A310" s="17">
        <v>1303</v>
      </c>
      <c r="B310" s="18">
        <v>2940</v>
      </c>
      <c r="C310" s="18">
        <v>10</v>
      </c>
      <c r="D310" s="18">
        <v>3395</v>
      </c>
      <c r="E310" s="20">
        <v>0.865979381443299</v>
      </c>
    </row>
    <row r="311" spans="1:5" x14ac:dyDescent="0.25">
      <c r="A311" s="17">
        <v>1304</v>
      </c>
      <c r="B311" s="18">
        <v>2628</v>
      </c>
      <c r="C311" s="18">
        <v>9</v>
      </c>
      <c r="D311" s="18">
        <v>2956</v>
      </c>
      <c r="E311" s="20">
        <v>0.88903924221921515</v>
      </c>
    </row>
    <row r="312" spans="1:5" x14ac:dyDescent="0.25">
      <c r="A312" s="17">
        <v>1305</v>
      </c>
      <c r="B312" s="18">
        <v>184</v>
      </c>
      <c r="C312" s="18">
        <v>1</v>
      </c>
      <c r="D312" s="18">
        <v>168</v>
      </c>
      <c r="E312" s="20">
        <v>1.0952380952380953</v>
      </c>
    </row>
    <row r="313" spans="1:5" x14ac:dyDescent="0.25">
      <c r="A313" s="17">
        <v>1306</v>
      </c>
      <c r="B313" s="18">
        <v>66</v>
      </c>
      <c r="C313" s="18">
        <v>1</v>
      </c>
      <c r="D313" s="18">
        <v>65</v>
      </c>
      <c r="E313" s="20">
        <v>1.0153846153846153</v>
      </c>
    </row>
    <row r="314" spans="1:5" x14ac:dyDescent="0.25">
      <c r="A314" s="17">
        <v>1307</v>
      </c>
      <c r="B314" s="18">
        <v>456</v>
      </c>
      <c r="C314" s="18">
        <v>2</v>
      </c>
      <c r="D314" s="18">
        <v>436</v>
      </c>
      <c r="E314" s="20">
        <v>1.0458715596330275</v>
      </c>
    </row>
    <row r="315" spans="1:5" x14ac:dyDescent="0.25">
      <c r="A315" s="17">
        <v>1308</v>
      </c>
      <c r="B315" s="18">
        <v>2061</v>
      </c>
      <c r="C315" s="18">
        <v>9</v>
      </c>
      <c r="D315" s="18">
        <v>2405</v>
      </c>
      <c r="E315" s="20">
        <v>0.85696465696465696</v>
      </c>
    </row>
    <row r="316" spans="1:5" x14ac:dyDescent="0.25">
      <c r="A316" s="17">
        <v>1309</v>
      </c>
      <c r="B316" s="18">
        <v>632</v>
      </c>
      <c r="C316" s="18">
        <v>4</v>
      </c>
      <c r="D316" s="18">
        <v>507</v>
      </c>
      <c r="E316" s="20">
        <v>1.2465483234714003</v>
      </c>
    </row>
    <row r="317" spans="1:5" x14ac:dyDescent="0.25">
      <c r="A317" s="17">
        <v>1310</v>
      </c>
      <c r="B317" s="18">
        <v>1077</v>
      </c>
      <c r="C317" s="18">
        <v>3</v>
      </c>
      <c r="D317" s="18">
        <v>1185</v>
      </c>
      <c r="E317" s="20">
        <v>0.90886075949367084</v>
      </c>
    </row>
    <row r="318" spans="1:5" x14ac:dyDescent="0.25">
      <c r="A318" s="17">
        <v>1311</v>
      </c>
      <c r="B318" s="18">
        <v>128</v>
      </c>
      <c r="C318" s="18">
        <v>4</v>
      </c>
      <c r="D318" s="18">
        <v>127</v>
      </c>
      <c r="E318" s="20">
        <v>1.0078740157480315</v>
      </c>
    </row>
    <row r="319" spans="1:5" x14ac:dyDescent="0.25">
      <c r="A319" s="17">
        <v>1312</v>
      </c>
      <c r="B319" s="18">
        <v>3200</v>
      </c>
      <c r="C319" s="18">
        <v>8</v>
      </c>
      <c r="D319" s="18">
        <v>3190</v>
      </c>
      <c r="E319" s="20">
        <v>1.0031347962382444</v>
      </c>
    </row>
    <row r="320" spans="1:5" x14ac:dyDescent="0.25">
      <c r="A320" s="17">
        <v>1313</v>
      </c>
      <c r="B320" s="18">
        <v>362</v>
      </c>
      <c r="C320" s="18">
        <v>2</v>
      </c>
      <c r="D320" s="18">
        <v>454</v>
      </c>
      <c r="E320" s="20">
        <v>0.79735682819383258</v>
      </c>
    </row>
    <row r="321" spans="1:5" x14ac:dyDescent="0.25">
      <c r="A321" s="17">
        <v>1314</v>
      </c>
      <c r="B321" s="18">
        <v>165</v>
      </c>
      <c r="C321" s="18">
        <v>5</v>
      </c>
      <c r="D321" s="18">
        <v>211</v>
      </c>
      <c r="E321" s="20">
        <v>0.78199052132701419</v>
      </c>
    </row>
    <row r="322" spans="1:5" x14ac:dyDescent="0.25">
      <c r="A322" s="17">
        <v>1315</v>
      </c>
      <c r="B322" s="18">
        <v>315</v>
      </c>
      <c r="C322" s="18">
        <v>9</v>
      </c>
      <c r="D322" s="18">
        <v>384</v>
      </c>
      <c r="E322" s="20">
        <v>0.8203125</v>
      </c>
    </row>
    <row r="323" spans="1:5" x14ac:dyDescent="0.25">
      <c r="A323" s="17">
        <v>1316</v>
      </c>
      <c r="B323" s="18">
        <v>585</v>
      </c>
      <c r="C323" s="18">
        <v>3</v>
      </c>
      <c r="D323" s="18">
        <v>532</v>
      </c>
      <c r="E323" s="20">
        <v>1.0996240601503759</v>
      </c>
    </row>
    <row r="324" spans="1:5" x14ac:dyDescent="0.25">
      <c r="A324" s="17">
        <v>1317</v>
      </c>
      <c r="B324" s="18">
        <v>382</v>
      </c>
      <c r="C324" s="18">
        <v>1</v>
      </c>
      <c r="D324" s="18">
        <v>405</v>
      </c>
      <c r="E324" s="20">
        <v>0.94320987654320987</v>
      </c>
    </row>
    <row r="325" spans="1:5" x14ac:dyDescent="0.25">
      <c r="A325" s="17">
        <v>1318</v>
      </c>
      <c r="B325" s="18">
        <v>272</v>
      </c>
      <c r="C325" s="18">
        <v>1</v>
      </c>
      <c r="D325" s="18">
        <v>239</v>
      </c>
      <c r="E325" s="20">
        <v>1.1380753138075315</v>
      </c>
    </row>
    <row r="326" spans="1:5" x14ac:dyDescent="0.25">
      <c r="A326" s="17">
        <v>1319</v>
      </c>
      <c r="B326" s="18">
        <v>1078</v>
      </c>
      <c r="C326" s="18">
        <v>7</v>
      </c>
      <c r="D326" s="18">
        <v>1055</v>
      </c>
      <c r="E326" s="20">
        <v>1.0218009478672985</v>
      </c>
    </row>
    <row r="327" spans="1:5" x14ac:dyDescent="0.25">
      <c r="A327" s="17">
        <v>1320</v>
      </c>
      <c r="B327" s="18">
        <v>3170</v>
      </c>
      <c r="C327" s="18">
        <v>10</v>
      </c>
      <c r="D327" s="18">
        <v>3607</v>
      </c>
      <c r="E327" s="20">
        <v>0.8788466869975049</v>
      </c>
    </row>
    <row r="328" spans="1:5" x14ac:dyDescent="0.25">
      <c r="A328" s="17">
        <v>1321</v>
      </c>
      <c r="B328" s="18">
        <v>870</v>
      </c>
      <c r="C328" s="18">
        <v>2</v>
      </c>
      <c r="D328" s="18">
        <v>730</v>
      </c>
      <c r="E328" s="20">
        <v>1.1917808219178083</v>
      </c>
    </row>
    <row r="329" spans="1:5" x14ac:dyDescent="0.25">
      <c r="A329" s="17">
        <v>1322</v>
      </c>
      <c r="B329" s="18">
        <v>3928</v>
      </c>
      <c r="C329" s="18">
        <v>8</v>
      </c>
      <c r="D329" s="18">
        <v>4734</v>
      </c>
      <c r="E329" s="20">
        <v>0.82974228981833542</v>
      </c>
    </row>
    <row r="330" spans="1:5" x14ac:dyDescent="0.25">
      <c r="A330" s="17">
        <v>1323</v>
      </c>
      <c r="B330" s="18">
        <v>2178</v>
      </c>
      <c r="C330" s="18">
        <v>9</v>
      </c>
      <c r="D330" s="18">
        <v>2818</v>
      </c>
      <c r="E330" s="20">
        <v>0.77288857345635198</v>
      </c>
    </row>
    <row r="331" spans="1:5" x14ac:dyDescent="0.25">
      <c r="A331" s="17">
        <v>1324</v>
      </c>
      <c r="B331" s="18">
        <v>365</v>
      </c>
      <c r="C331" s="18">
        <v>1</v>
      </c>
      <c r="D331" s="18">
        <v>451</v>
      </c>
      <c r="E331" s="20">
        <v>0.80931263858093128</v>
      </c>
    </row>
    <row r="332" spans="1:5" x14ac:dyDescent="0.25">
      <c r="A332" s="17">
        <v>1325</v>
      </c>
      <c r="B332" s="18">
        <v>1015</v>
      </c>
      <c r="C332" s="18">
        <v>7</v>
      </c>
      <c r="D332" s="18">
        <v>1133</v>
      </c>
      <c r="E332" s="20">
        <v>0.89585172109443956</v>
      </c>
    </row>
    <row r="333" spans="1:5" x14ac:dyDescent="0.25">
      <c r="A333" s="17">
        <v>1326</v>
      </c>
      <c r="B333" s="18">
        <v>1344</v>
      </c>
      <c r="C333" s="18">
        <v>6</v>
      </c>
      <c r="D333" s="18">
        <v>1398</v>
      </c>
      <c r="E333" s="20">
        <v>0.96137339055793991</v>
      </c>
    </row>
    <row r="334" spans="1:5" x14ac:dyDescent="0.25">
      <c r="A334" s="17">
        <v>1327</v>
      </c>
      <c r="B334" s="18">
        <v>485</v>
      </c>
      <c r="C334" s="18">
        <v>1</v>
      </c>
      <c r="D334" s="18">
        <v>429</v>
      </c>
      <c r="E334" s="20">
        <v>1.1305361305361306</v>
      </c>
    </row>
    <row r="335" spans="1:5" x14ac:dyDescent="0.25">
      <c r="A335" s="17">
        <v>1328</v>
      </c>
      <c r="B335" s="18">
        <v>2520</v>
      </c>
      <c r="C335" s="18">
        <v>9</v>
      </c>
      <c r="D335" s="18">
        <v>2044</v>
      </c>
      <c r="E335" s="20">
        <v>1.2328767123287672</v>
      </c>
    </row>
    <row r="336" spans="1:5" x14ac:dyDescent="0.25">
      <c r="A336" s="17">
        <v>1329</v>
      </c>
      <c r="B336" s="18">
        <v>2277</v>
      </c>
      <c r="C336" s="18">
        <v>9</v>
      </c>
      <c r="D336" s="18">
        <v>2209</v>
      </c>
      <c r="E336" s="20">
        <v>1.0307831598008148</v>
      </c>
    </row>
    <row r="337" spans="1:5" x14ac:dyDescent="0.25">
      <c r="A337" s="17">
        <v>1330</v>
      </c>
      <c r="B337" s="18">
        <v>1700</v>
      </c>
      <c r="C337" s="18">
        <v>10</v>
      </c>
      <c r="D337" s="18">
        <v>1454</v>
      </c>
      <c r="E337" s="20">
        <v>1.1691884456671251</v>
      </c>
    </row>
    <row r="338" spans="1:5" x14ac:dyDescent="0.25">
      <c r="A338" s="17">
        <v>1331</v>
      </c>
      <c r="B338" s="18">
        <v>2970</v>
      </c>
      <c r="C338" s="18">
        <v>6</v>
      </c>
      <c r="D338" s="18">
        <v>3652</v>
      </c>
      <c r="E338" s="20">
        <v>0.81325301204819278</v>
      </c>
    </row>
    <row r="339" spans="1:5" x14ac:dyDescent="0.25">
      <c r="A339" s="17">
        <v>1332</v>
      </c>
      <c r="B339" s="18">
        <v>552</v>
      </c>
      <c r="C339" s="18">
        <v>4</v>
      </c>
      <c r="D339" s="18">
        <v>606</v>
      </c>
      <c r="E339" s="20">
        <v>0.91089108910891092</v>
      </c>
    </row>
    <row r="340" spans="1:5" x14ac:dyDescent="0.25">
      <c r="A340" s="17">
        <v>1333</v>
      </c>
      <c r="B340" s="18">
        <v>312</v>
      </c>
      <c r="C340" s="18">
        <v>6</v>
      </c>
      <c r="D340" s="18">
        <v>276</v>
      </c>
      <c r="E340" s="20">
        <v>1.1304347826086956</v>
      </c>
    </row>
    <row r="341" spans="1:5" x14ac:dyDescent="0.25">
      <c r="A341" s="17">
        <v>1334</v>
      </c>
      <c r="B341" s="18">
        <v>1328</v>
      </c>
      <c r="C341" s="18">
        <v>8</v>
      </c>
      <c r="D341" s="18">
        <v>1358</v>
      </c>
      <c r="E341" s="20">
        <v>0.9779086892488954</v>
      </c>
    </row>
    <row r="342" spans="1:5" x14ac:dyDescent="0.25">
      <c r="A342" s="17">
        <v>1335</v>
      </c>
      <c r="B342" s="18">
        <v>285</v>
      </c>
      <c r="C342" s="18">
        <v>3</v>
      </c>
      <c r="D342" s="18">
        <v>317</v>
      </c>
      <c r="E342" s="20">
        <v>0.89905362776025233</v>
      </c>
    </row>
    <row r="343" spans="1:5" x14ac:dyDescent="0.25">
      <c r="A343" s="17">
        <v>1336</v>
      </c>
      <c r="B343" s="18">
        <v>1724</v>
      </c>
      <c r="C343" s="18">
        <v>4</v>
      </c>
      <c r="D343" s="18">
        <v>2060</v>
      </c>
      <c r="E343" s="20">
        <v>0.8368932038834952</v>
      </c>
    </row>
    <row r="344" spans="1:5" x14ac:dyDescent="0.25">
      <c r="A344" s="17">
        <v>1337</v>
      </c>
      <c r="B344" s="18">
        <v>372</v>
      </c>
      <c r="C344" s="18">
        <v>2</v>
      </c>
      <c r="D344" s="18">
        <v>315</v>
      </c>
      <c r="E344" s="20">
        <v>1.180952380952381</v>
      </c>
    </row>
    <row r="345" spans="1:5" x14ac:dyDescent="0.25">
      <c r="A345" s="17">
        <v>1338</v>
      </c>
      <c r="B345" s="18">
        <v>1866</v>
      </c>
      <c r="C345" s="18">
        <v>6</v>
      </c>
      <c r="D345" s="18">
        <v>1625</v>
      </c>
      <c r="E345" s="20">
        <v>1.1483076923076923</v>
      </c>
    </row>
    <row r="346" spans="1:5" x14ac:dyDescent="0.25">
      <c r="A346" s="17">
        <v>1339</v>
      </c>
      <c r="B346" s="18">
        <v>732</v>
      </c>
      <c r="C346" s="18">
        <v>6</v>
      </c>
      <c r="D346" s="18">
        <v>648</v>
      </c>
      <c r="E346" s="20">
        <v>1.1296296296296295</v>
      </c>
    </row>
    <row r="347" spans="1:5" x14ac:dyDescent="0.25">
      <c r="A347" s="17">
        <v>1340</v>
      </c>
      <c r="B347" s="18">
        <v>405</v>
      </c>
      <c r="C347" s="18">
        <v>3</v>
      </c>
      <c r="D347" s="18">
        <v>356</v>
      </c>
      <c r="E347" s="20">
        <v>1.1376404494382022</v>
      </c>
    </row>
    <row r="348" spans="1:5" x14ac:dyDescent="0.25">
      <c r="A348" s="17">
        <v>1341</v>
      </c>
      <c r="B348" s="18">
        <v>144</v>
      </c>
      <c r="C348" s="18">
        <v>6</v>
      </c>
      <c r="D348" s="18">
        <v>170</v>
      </c>
      <c r="E348" s="20">
        <v>0.84705882352941175</v>
      </c>
    </row>
    <row r="349" spans="1:5" x14ac:dyDescent="0.25">
      <c r="A349" s="17">
        <v>1342</v>
      </c>
      <c r="B349" s="18">
        <v>2226</v>
      </c>
      <c r="C349" s="18">
        <v>7</v>
      </c>
      <c r="D349" s="18">
        <v>1892</v>
      </c>
      <c r="E349" s="20">
        <v>1.1765327695560253</v>
      </c>
    </row>
    <row r="350" spans="1:5" x14ac:dyDescent="0.25">
      <c r="A350" s="17">
        <v>1343</v>
      </c>
      <c r="B350" s="18">
        <v>1407</v>
      </c>
      <c r="C350" s="18">
        <v>3</v>
      </c>
      <c r="D350" s="18">
        <v>1212</v>
      </c>
      <c r="E350" s="20">
        <v>1.1608910891089108</v>
      </c>
    </row>
    <row r="351" spans="1:5" x14ac:dyDescent="0.25">
      <c r="A351" s="17">
        <v>1344</v>
      </c>
      <c r="B351" s="18">
        <v>1204</v>
      </c>
      <c r="C351" s="18">
        <v>4</v>
      </c>
      <c r="D351" s="18">
        <v>1151</v>
      </c>
      <c r="E351" s="20">
        <v>1.0460469157254562</v>
      </c>
    </row>
    <row r="352" spans="1:5" x14ac:dyDescent="0.25">
      <c r="A352" s="17">
        <v>1345</v>
      </c>
      <c r="B352" s="18">
        <v>580</v>
      </c>
      <c r="C352" s="18">
        <v>5</v>
      </c>
      <c r="D352" s="18">
        <v>651</v>
      </c>
      <c r="E352" s="20">
        <v>0.89093701996927799</v>
      </c>
    </row>
    <row r="353" spans="1:5" x14ac:dyDescent="0.25">
      <c r="A353" s="17">
        <v>1346</v>
      </c>
      <c r="B353" s="18">
        <v>3060</v>
      </c>
      <c r="C353" s="18">
        <v>9</v>
      </c>
      <c r="D353" s="18">
        <v>3893</v>
      </c>
      <c r="E353" s="20">
        <v>0.78602620087336239</v>
      </c>
    </row>
    <row r="354" spans="1:5" x14ac:dyDescent="0.25">
      <c r="A354" s="17">
        <v>1347</v>
      </c>
      <c r="B354" s="18">
        <v>3444</v>
      </c>
      <c r="C354" s="18">
        <v>7</v>
      </c>
      <c r="D354" s="18">
        <v>4417</v>
      </c>
      <c r="E354" s="20">
        <v>0.77971473851030115</v>
      </c>
    </row>
    <row r="355" spans="1:5" x14ac:dyDescent="0.25">
      <c r="A355" s="17">
        <v>1348</v>
      </c>
      <c r="B355" s="18">
        <v>2320</v>
      </c>
      <c r="C355" s="18">
        <v>5</v>
      </c>
      <c r="D355" s="18">
        <v>2448</v>
      </c>
      <c r="E355" s="20">
        <v>0.94771241830065356</v>
      </c>
    </row>
    <row r="356" spans="1:5" x14ac:dyDescent="0.25">
      <c r="A356" s="17">
        <v>1349</v>
      </c>
      <c r="B356" s="18">
        <v>2730</v>
      </c>
      <c r="C356" s="18">
        <v>10</v>
      </c>
      <c r="D356" s="18">
        <v>2840</v>
      </c>
      <c r="E356" s="20">
        <v>0.96126760563380287</v>
      </c>
    </row>
    <row r="357" spans="1:5" x14ac:dyDescent="0.25">
      <c r="A357" s="17">
        <v>1350</v>
      </c>
      <c r="B357" s="18">
        <v>90</v>
      </c>
      <c r="C357" s="18">
        <v>9</v>
      </c>
      <c r="D357" s="18">
        <v>88</v>
      </c>
      <c r="E357" s="20">
        <v>1.0227272727272727</v>
      </c>
    </row>
    <row r="358" spans="1:5" x14ac:dyDescent="0.25">
      <c r="A358" s="17">
        <v>1351</v>
      </c>
      <c r="B358" s="18">
        <v>930</v>
      </c>
      <c r="C358" s="18">
        <v>2</v>
      </c>
      <c r="D358" s="18">
        <v>1174</v>
      </c>
      <c r="E358" s="20">
        <v>0.79216354344122653</v>
      </c>
    </row>
    <row r="359" spans="1:5" x14ac:dyDescent="0.25">
      <c r="A359" s="17">
        <v>1352</v>
      </c>
      <c r="B359" s="18">
        <v>2170</v>
      </c>
      <c r="C359" s="18">
        <v>10</v>
      </c>
      <c r="D359" s="18">
        <v>1796</v>
      </c>
      <c r="E359" s="20">
        <v>1.2082405345211582</v>
      </c>
    </row>
    <row r="360" spans="1:5" x14ac:dyDescent="0.25">
      <c r="A360" s="17">
        <v>1353</v>
      </c>
      <c r="B360" s="18">
        <v>1870</v>
      </c>
      <c r="C360" s="18">
        <v>10</v>
      </c>
      <c r="D360" s="18">
        <v>1843</v>
      </c>
      <c r="E360" s="20">
        <v>1.0146500271296799</v>
      </c>
    </row>
    <row r="361" spans="1:5" x14ac:dyDescent="0.25">
      <c r="A361" s="17">
        <v>1354</v>
      </c>
      <c r="B361" s="18">
        <v>950</v>
      </c>
      <c r="C361" s="18">
        <v>2</v>
      </c>
      <c r="D361" s="18">
        <v>884</v>
      </c>
      <c r="E361" s="20">
        <v>1.0746606334841629</v>
      </c>
    </row>
    <row r="362" spans="1:5" x14ac:dyDescent="0.25">
      <c r="A362" s="17">
        <v>1355</v>
      </c>
      <c r="B362" s="18">
        <v>1312</v>
      </c>
      <c r="C362" s="18">
        <v>8</v>
      </c>
      <c r="D362" s="18">
        <v>1271</v>
      </c>
      <c r="E362" s="20">
        <v>1.032258064516129</v>
      </c>
    </row>
    <row r="363" spans="1:5" x14ac:dyDescent="0.25">
      <c r="A363" s="17">
        <v>1356</v>
      </c>
      <c r="B363" s="18">
        <v>2634</v>
      </c>
      <c r="C363" s="18">
        <v>6</v>
      </c>
      <c r="D363" s="18">
        <v>2858</v>
      </c>
      <c r="E363" s="20">
        <v>0.92162351294611622</v>
      </c>
    </row>
    <row r="364" spans="1:5" x14ac:dyDescent="0.25">
      <c r="A364" s="17">
        <v>1357</v>
      </c>
      <c r="B364" s="18">
        <v>1530</v>
      </c>
      <c r="C364" s="18">
        <v>5</v>
      </c>
      <c r="D364" s="18">
        <v>1356</v>
      </c>
      <c r="E364" s="20">
        <v>1.1283185840707965</v>
      </c>
    </row>
    <row r="365" spans="1:5" x14ac:dyDescent="0.25">
      <c r="A365" s="17">
        <v>1358</v>
      </c>
      <c r="B365" s="18">
        <v>520</v>
      </c>
      <c r="C365" s="18">
        <v>2</v>
      </c>
      <c r="D365" s="18">
        <v>631</v>
      </c>
      <c r="E365" s="20">
        <v>0.82408874801901744</v>
      </c>
    </row>
    <row r="366" spans="1:5" x14ac:dyDescent="0.25">
      <c r="A366" s="17">
        <v>1359</v>
      </c>
      <c r="B366" s="18">
        <v>3423</v>
      </c>
      <c r="C366" s="18">
        <v>7</v>
      </c>
      <c r="D366" s="18">
        <v>3361</v>
      </c>
      <c r="E366" s="20">
        <v>1.0184468908063076</v>
      </c>
    </row>
    <row r="367" spans="1:5" x14ac:dyDescent="0.25">
      <c r="A367" s="17">
        <v>1360</v>
      </c>
      <c r="B367" s="18">
        <v>480</v>
      </c>
      <c r="C367" s="18">
        <v>6</v>
      </c>
      <c r="D367" s="18">
        <v>398</v>
      </c>
      <c r="E367" s="20">
        <v>1.2060301507537687</v>
      </c>
    </row>
    <row r="368" spans="1:5" x14ac:dyDescent="0.25">
      <c r="A368" s="17">
        <v>1361</v>
      </c>
      <c r="B368" s="18">
        <v>1242</v>
      </c>
      <c r="C368" s="18">
        <v>3</v>
      </c>
      <c r="D368" s="18">
        <v>1597</v>
      </c>
      <c r="E368" s="20">
        <v>0.77770820288040077</v>
      </c>
    </row>
    <row r="369" spans="1:5" x14ac:dyDescent="0.25">
      <c r="A369" s="17">
        <v>1362</v>
      </c>
      <c r="B369" s="18">
        <v>1386</v>
      </c>
      <c r="C369" s="18">
        <v>9</v>
      </c>
      <c r="D369" s="18">
        <v>1475</v>
      </c>
      <c r="E369" s="20">
        <v>0.93966101694915249</v>
      </c>
    </row>
    <row r="370" spans="1:5" x14ac:dyDescent="0.25">
      <c r="A370" s="17">
        <v>1363</v>
      </c>
      <c r="B370" s="18">
        <v>690</v>
      </c>
      <c r="C370" s="18">
        <v>5</v>
      </c>
      <c r="D370" s="18">
        <v>613</v>
      </c>
      <c r="E370" s="20">
        <v>1.1256117455138663</v>
      </c>
    </row>
    <row r="371" spans="1:5" x14ac:dyDescent="0.25">
      <c r="A371" s="17">
        <v>1364</v>
      </c>
      <c r="B371" s="18">
        <v>1132</v>
      </c>
      <c r="C371" s="18">
        <v>4</v>
      </c>
      <c r="D371" s="18">
        <v>952</v>
      </c>
      <c r="E371" s="20">
        <v>1.1890756302521008</v>
      </c>
    </row>
    <row r="372" spans="1:5" x14ac:dyDescent="0.25">
      <c r="A372" s="17">
        <v>1365</v>
      </c>
      <c r="B372" s="18">
        <v>2240</v>
      </c>
      <c r="C372" s="18">
        <v>10</v>
      </c>
      <c r="D372" s="18">
        <v>2467</v>
      </c>
      <c r="E372" s="20">
        <v>0.90798540737738143</v>
      </c>
    </row>
    <row r="373" spans="1:5" x14ac:dyDescent="0.25">
      <c r="A373" s="17">
        <v>1366</v>
      </c>
      <c r="B373" s="18">
        <v>3610</v>
      </c>
      <c r="C373" s="18">
        <v>10</v>
      </c>
      <c r="D373" s="18">
        <v>3197</v>
      </c>
      <c r="E373" s="20">
        <v>1.129183609634032</v>
      </c>
    </row>
    <row r="374" spans="1:5" x14ac:dyDescent="0.25">
      <c r="A374" s="17">
        <v>1367</v>
      </c>
      <c r="B374" s="18">
        <v>738</v>
      </c>
      <c r="C374" s="18">
        <v>3</v>
      </c>
      <c r="D374" s="18">
        <v>943</v>
      </c>
      <c r="E374" s="20">
        <v>0.78260869565217395</v>
      </c>
    </row>
    <row r="375" spans="1:5" x14ac:dyDescent="0.25">
      <c r="A375" s="17">
        <v>1368</v>
      </c>
      <c r="B375" s="18">
        <v>1524</v>
      </c>
      <c r="C375" s="18">
        <v>4</v>
      </c>
      <c r="D375" s="18">
        <v>1848</v>
      </c>
      <c r="E375" s="20">
        <v>0.82467532467532467</v>
      </c>
    </row>
    <row r="376" spans="1:5" x14ac:dyDescent="0.25">
      <c r="A376" s="17">
        <v>1369</v>
      </c>
      <c r="B376" s="18">
        <v>2639</v>
      </c>
      <c r="C376" s="18">
        <v>7</v>
      </c>
      <c r="D376" s="18">
        <v>3350</v>
      </c>
      <c r="E376" s="20">
        <v>0.78776119402985079</v>
      </c>
    </row>
    <row r="377" spans="1:5" x14ac:dyDescent="0.25">
      <c r="A377" s="17">
        <v>1370</v>
      </c>
      <c r="B377" s="18">
        <v>776</v>
      </c>
      <c r="C377" s="18">
        <v>2</v>
      </c>
      <c r="D377" s="18">
        <v>896</v>
      </c>
      <c r="E377" s="20">
        <v>0.8660714285714286</v>
      </c>
    </row>
    <row r="378" spans="1:5" x14ac:dyDescent="0.25">
      <c r="A378" s="17">
        <v>1371</v>
      </c>
      <c r="B378" s="18">
        <v>234</v>
      </c>
      <c r="C378" s="18">
        <v>3</v>
      </c>
      <c r="D378" s="18">
        <v>272</v>
      </c>
      <c r="E378" s="20">
        <v>0.86029411764705888</v>
      </c>
    </row>
    <row r="379" spans="1:5" x14ac:dyDescent="0.25">
      <c r="A379" s="17">
        <v>1372</v>
      </c>
      <c r="B379" s="18">
        <v>285</v>
      </c>
      <c r="C379" s="18">
        <v>3</v>
      </c>
      <c r="D379" s="18">
        <v>265</v>
      </c>
      <c r="E379" s="20">
        <v>1.0754716981132075</v>
      </c>
    </row>
    <row r="380" spans="1:5" x14ac:dyDescent="0.25">
      <c r="A380" s="17">
        <v>1373</v>
      </c>
      <c r="B380" s="18">
        <v>603</v>
      </c>
      <c r="C380" s="18">
        <v>3</v>
      </c>
      <c r="D380" s="18">
        <v>625</v>
      </c>
      <c r="E380" s="20">
        <v>0.96479999999999999</v>
      </c>
    </row>
    <row r="381" spans="1:5" x14ac:dyDescent="0.25">
      <c r="A381" s="17">
        <v>1374</v>
      </c>
      <c r="B381" s="18">
        <v>333</v>
      </c>
      <c r="C381" s="18">
        <v>9</v>
      </c>
      <c r="D381" s="18">
        <v>364</v>
      </c>
      <c r="E381" s="20">
        <v>0.9148351648351648</v>
      </c>
    </row>
    <row r="382" spans="1:5" x14ac:dyDescent="0.25">
      <c r="A382" s="17">
        <v>1375</v>
      </c>
      <c r="B382" s="18">
        <v>132</v>
      </c>
      <c r="C382" s="18">
        <v>1</v>
      </c>
      <c r="D382" s="18">
        <v>161</v>
      </c>
      <c r="E382" s="20">
        <v>0.81987577639751552</v>
      </c>
    </row>
    <row r="383" spans="1:5" x14ac:dyDescent="0.25">
      <c r="A383" s="17">
        <v>1376</v>
      </c>
      <c r="B383" s="18">
        <v>698</v>
      </c>
      <c r="C383" s="18">
        <v>2</v>
      </c>
      <c r="D383" s="18">
        <v>900</v>
      </c>
      <c r="E383" s="20">
        <v>0.77555555555555555</v>
      </c>
    </row>
    <row r="384" spans="1:5" x14ac:dyDescent="0.25">
      <c r="A384" s="17">
        <v>1377</v>
      </c>
      <c r="B384" s="18">
        <v>198</v>
      </c>
      <c r="C384" s="18">
        <v>3</v>
      </c>
      <c r="D384" s="18">
        <v>170</v>
      </c>
      <c r="E384" s="20">
        <v>1.1647058823529413</v>
      </c>
    </row>
    <row r="385" spans="1:5" x14ac:dyDescent="0.25">
      <c r="A385" s="17">
        <v>1378</v>
      </c>
      <c r="B385" s="18">
        <v>1380</v>
      </c>
      <c r="C385" s="18">
        <v>5</v>
      </c>
      <c r="D385" s="18">
        <v>1571</v>
      </c>
      <c r="E385" s="20">
        <v>0.87842138765117761</v>
      </c>
    </row>
    <row r="386" spans="1:5" x14ac:dyDescent="0.25">
      <c r="A386" s="17">
        <v>1379</v>
      </c>
      <c r="B386" s="18">
        <v>399</v>
      </c>
      <c r="C386" s="18">
        <v>1</v>
      </c>
      <c r="D386" s="18">
        <v>416</v>
      </c>
      <c r="E386" s="20">
        <v>0.95913461538461542</v>
      </c>
    </row>
    <row r="387" spans="1:5" x14ac:dyDescent="0.25">
      <c r="A387" s="17">
        <v>1380</v>
      </c>
      <c r="B387" s="18">
        <v>102</v>
      </c>
      <c r="C387" s="18">
        <v>1</v>
      </c>
      <c r="D387" s="18">
        <v>123</v>
      </c>
      <c r="E387" s="20">
        <v>0.82926829268292679</v>
      </c>
    </row>
    <row r="388" spans="1:5" x14ac:dyDescent="0.25">
      <c r="A388" s="17">
        <v>1381</v>
      </c>
      <c r="B388" s="18">
        <v>2135</v>
      </c>
      <c r="C388" s="18">
        <v>7</v>
      </c>
      <c r="D388" s="18">
        <v>1875</v>
      </c>
      <c r="E388" s="20">
        <v>1.1386666666666667</v>
      </c>
    </row>
    <row r="389" spans="1:5" x14ac:dyDescent="0.25">
      <c r="A389" s="17">
        <v>1382</v>
      </c>
      <c r="B389" s="18">
        <v>1344</v>
      </c>
      <c r="C389" s="18">
        <v>4</v>
      </c>
      <c r="D389" s="18">
        <v>1177</v>
      </c>
      <c r="E389" s="20">
        <v>1.1418861512319456</v>
      </c>
    </row>
    <row r="390" spans="1:5" x14ac:dyDescent="0.25">
      <c r="A390" s="17">
        <v>1383</v>
      </c>
      <c r="B390" s="18">
        <v>35</v>
      </c>
      <c r="C390" s="18">
        <v>1</v>
      </c>
      <c r="D390" s="18">
        <v>38</v>
      </c>
      <c r="E390" s="20">
        <v>0.92105263157894735</v>
      </c>
    </row>
    <row r="391" spans="1:5" x14ac:dyDescent="0.25">
      <c r="A391" s="17">
        <v>1384</v>
      </c>
      <c r="B391" s="18">
        <v>584</v>
      </c>
      <c r="C391" s="18">
        <v>4</v>
      </c>
      <c r="D391" s="18">
        <v>655</v>
      </c>
      <c r="E391" s="20">
        <v>0.89160305343511448</v>
      </c>
    </row>
    <row r="392" spans="1:5" x14ac:dyDescent="0.25">
      <c r="A392" s="17">
        <v>1385</v>
      </c>
      <c r="B392" s="18">
        <v>942</v>
      </c>
      <c r="C392" s="18">
        <v>2</v>
      </c>
      <c r="D392" s="18">
        <v>915</v>
      </c>
      <c r="E392" s="20">
        <v>1.0295081967213116</v>
      </c>
    </row>
    <row r="393" spans="1:5" x14ac:dyDescent="0.25">
      <c r="A393" s="17">
        <v>1386</v>
      </c>
      <c r="B393" s="18">
        <v>121</v>
      </c>
      <c r="C393" s="18">
        <v>1</v>
      </c>
      <c r="D393" s="18">
        <v>126</v>
      </c>
      <c r="E393" s="20">
        <v>0.96031746031746035</v>
      </c>
    </row>
    <row r="394" spans="1:5" x14ac:dyDescent="0.25">
      <c r="A394" s="17">
        <v>1387</v>
      </c>
      <c r="B394" s="18">
        <v>1491</v>
      </c>
      <c r="C394" s="18">
        <v>3</v>
      </c>
      <c r="D394" s="18">
        <v>1676</v>
      </c>
      <c r="E394" s="20">
        <v>0.88961813842482096</v>
      </c>
    </row>
    <row r="395" spans="1:5" x14ac:dyDescent="0.25">
      <c r="A395" s="17">
        <v>1388</v>
      </c>
      <c r="B395" s="18">
        <v>726</v>
      </c>
      <c r="C395" s="18">
        <v>2</v>
      </c>
      <c r="D395" s="18">
        <v>864</v>
      </c>
      <c r="E395" s="20">
        <v>0.84027777777777779</v>
      </c>
    </row>
    <row r="396" spans="1:5" x14ac:dyDescent="0.25">
      <c r="A396" s="17">
        <v>1389</v>
      </c>
      <c r="B396" s="18">
        <v>1712</v>
      </c>
      <c r="C396" s="18">
        <v>4</v>
      </c>
      <c r="D396" s="18">
        <v>1570</v>
      </c>
      <c r="E396" s="20">
        <v>1.0904458598726114</v>
      </c>
    </row>
    <row r="397" spans="1:5" x14ac:dyDescent="0.25">
      <c r="A397" s="17">
        <v>1390</v>
      </c>
      <c r="B397" s="18">
        <v>686</v>
      </c>
      <c r="C397" s="18">
        <v>7</v>
      </c>
      <c r="D397" s="18">
        <v>660</v>
      </c>
      <c r="E397" s="20">
        <v>1.0393939393939393</v>
      </c>
    </row>
    <row r="398" spans="1:5" x14ac:dyDescent="0.25">
      <c r="A398" s="17">
        <v>1391</v>
      </c>
      <c r="B398" s="18">
        <v>2370</v>
      </c>
      <c r="C398" s="18">
        <v>6</v>
      </c>
      <c r="D398" s="18">
        <v>2409</v>
      </c>
      <c r="E398" s="20">
        <v>0.98381070983810714</v>
      </c>
    </row>
    <row r="399" spans="1:5" x14ac:dyDescent="0.25">
      <c r="A399" s="17">
        <v>1392</v>
      </c>
      <c r="B399" s="18">
        <v>588</v>
      </c>
      <c r="C399" s="18">
        <v>6</v>
      </c>
      <c r="D399" s="18">
        <v>737</v>
      </c>
      <c r="E399" s="20">
        <v>0.79782903663500682</v>
      </c>
    </row>
    <row r="400" spans="1:5" x14ac:dyDescent="0.25">
      <c r="A400" s="17">
        <v>1393</v>
      </c>
      <c r="B400" s="18">
        <v>664</v>
      </c>
      <c r="C400" s="18">
        <v>8</v>
      </c>
      <c r="D400" s="18">
        <v>624</v>
      </c>
      <c r="E400" s="20">
        <v>1.0641025641025641</v>
      </c>
    </row>
    <row r="401" spans="1:5" x14ac:dyDescent="0.25">
      <c r="A401" s="17">
        <v>1394</v>
      </c>
      <c r="B401" s="18">
        <v>774</v>
      </c>
      <c r="C401" s="18">
        <v>2</v>
      </c>
      <c r="D401" s="18">
        <v>887</v>
      </c>
      <c r="E401" s="20">
        <v>0.87260428410372037</v>
      </c>
    </row>
    <row r="402" spans="1:5" x14ac:dyDescent="0.25">
      <c r="A402" s="17">
        <v>1395</v>
      </c>
      <c r="B402" s="18">
        <v>340</v>
      </c>
      <c r="C402" s="18">
        <v>10</v>
      </c>
      <c r="D402" s="18">
        <v>313</v>
      </c>
      <c r="E402" s="20">
        <v>1.0862619808306708</v>
      </c>
    </row>
    <row r="403" spans="1:5" x14ac:dyDescent="0.25">
      <c r="A403" s="17">
        <v>1396</v>
      </c>
      <c r="B403" s="18">
        <v>2970</v>
      </c>
      <c r="C403" s="18">
        <v>6</v>
      </c>
      <c r="D403" s="18">
        <v>3618</v>
      </c>
      <c r="E403" s="20">
        <v>0.82089552238805974</v>
      </c>
    </row>
    <row r="404" spans="1:5" x14ac:dyDescent="0.25">
      <c r="A404" s="17">
        <v>1397</v>
      </c>
      <c r="B404" s="18">
        <v>3400</v>
      </c>
      <c r="C404" s="18">
        <v>10</v>
      </c>
      <c r="D404" s="18">
        <v>3309</v>
      </c>
      <c r="E404" s="20">
        <v>1.0275007555152613</v>
      </c>
    </row>
    <row r="405" spans="1:5" x14ac:dyDescent="0.25">
      <c r="A405" s="17">
        <v>1398</v>
      </c>
      <c r="B405" s="18">
        <v>3510</v>
      </c>
      <c r="C405" s="18">
        <v>9</v>
      </c>
      <c r="D405" s="18">
        <v>2994</v>
      </c>
      <c r="E405" s="20">
        <v>1.1723446893787575</v>
      </c>
    </row>
    <row r="406" spans="1:5" x14ac:dyDescent="0.25">
      <c r="A406" s="17">
        <v>1399</v>
      </c>
      <c r="B406" s="18">
        <v>34</v>
      </c>
      <c r="C406" s="18">
        <v>2</v>
      </c>
      <c r="D406" s="18">
        <v>43</v>
      </c>
      <c r="E406" s="20">
        <v>0.79069767441860461</v>
      </c>
    </row>
    <row r="407" spans="1:5" x14ac:dyDescent="0.25">
      <c r="A407" s="17">
        <v>1400</v>
      </c>
      <c r="B407" s="18">
        <v>192</v>
      </c>
      <c r="C407" s="18">
        <v>1</v>
      </c>
      <c r="D407" s="18">
        <v>249</v>
      </c>
      <c r="E407" s="20">
        <v>0.77108433734939763</v>
      </c>
    </row>
    <row r="408" spans="1:5" x14ac:dyDescent="0.25">
      <c r="A408" s="17">
        <v>1401</v>
      </c>
      <c r="B408" s="18">
        <v>243</v>
      </c>
      <c r="C408" s="18">
        <v>9</v>
      </c>
      <c r="D408" s="18">
        <v>295</v>
      </c>
      <c r="E408" s="20">
        <v>0.82372881355932204</v>
      </c>
    </row>
    <row r="409" spans="1:5" x14ac:dyDescent="0.25">
      <c r="A409" s="17">
        <v>1402</v>
      </c>
      <c r="B409" s="18">
        <v>312</v>
      </c>
      <c r="C409" s="18">
        <v>6</v>
      </c>
      <c r="D409" s="18">
        <v>401</v>
      </c>
      <c r="E409" s="20">
        <v>0.77805486284289271</v>
      </c>
    </row>
    <row r="410" spans="1:5" x14ac:dyDescent="0.25">
      <c r="A410" s="17">
        <v>1403</v>
      </c>
      <c r="B410" s="18">
        <v>2425</v>
      </c>
      <c r="C410" s="18">
        <v>5</v>
      </c>
      <c r="D410" s="18">
        <v>2085</v>
      </c>
      <c r="E410" s="20">
        <v>1.1630695443645085</v>
      </c>
    </row>
    <row r="411" spans="1:5" x14ac:dyDescent="0.25">
      <c r="A411" s="17">
        <v>1404</v>
      </c>
      <c r="B411" s="18">
        <v>870</v>
      </c>
      <c r="C411" s="18">
        <v>3</v>
      </c>
      <c r="D411" s="18">
        <v>883</v>
      </c>
      <c r="E411" s="20">
        <v>0.98527746319365794</v>
      </c>
    </row>
    <row r="412" spans="1:5" x14ac:dyDescent="0.25">
      <c r="A412" s="17">
        <v>1405</v>
      </c>
      <c r="B412" s="18">
        <v>664</v>
      </c>
      <c r="C412" s="18">
        <v>4</v>
      </c>
      <c r="D412" s="18">
        <v>754</v>
      </c>
      <c r="E412" s="20">
        <v>0.88063660477453576</v>
      </c>
    </row>
    <row r="413" spans="1:5" x14ac:dyDescent="0.25">
      <c r="A413" s="17">
        <v>1406</v>
      </c>
      <c r="B413" s="18">
        <v>342</v>
      </c>
      <c r="C413" s="18">
        <v>2</v>
      </c>
      <c r="D413" s="18">
        <v>419</v>
      </c>
      <c r="E413" s="20">
        <v>0.81622911694510736</v>
      </c>
    </row>
    <row r="414" spans="1:5" x14ac:dyDescent="0.25">
      <c r="A414" s="17">
        <v>1407</v>
      </c>
      <c r="B414" s="18">
        <v>88</v>
      </c>
      <c r="C414" s="18">
        <v>8</v>
      </c>
      <c r="D414" s="18">
        <v>100</v>
      </c>
      <c r="E414" s="20">
        <v>0.88</v>
      </c>
    </row>
    <row r="415" spans="1:5" x14ac:dyDescent="0.25">
      <c r="A415" s="17">
        <v>1408</v>
      </c>
      <c r="B415" s="18">
        <v>2256</v>
      </c>
      <c r="C415" s="18">
        <v>6</v>
      </c>
      <c r="D415" s="18">
        <v>2842</v>
      </c>
      <c r="E415" s="20">
        <v>0.79380717804363121</v>
      </c>
    </row>
    <row r="416" spans="1:5" x14ac:dyDescent="0.25">
      <c r="A416" s="17">
        <v>1409</v>
      </c>
      <c r="B416" s="18">
        <v>1872</v>
      </c>
      <c r="C416" s="18">
        <v>4</v>
      </c>
      <c r="D416" s="18">
        <v>1900</v>
      </c>
      <c r="E416" s="20">
        <v>0.98526315789473684</v>
      </c>
    </row>
    <row r="417" spans="1:5" x14ac:dyDescent="0.25">
      <c r="A417" s="17">
        <v>1410</v>
      </c>
      <c r="B417" s="18">
        <v>162</v>
      </c>
      <c r="C417" s="18">
        <v>1</v>
      </c>
      <c r="D417" s="18">
        <v>174</v>
      </c>
      <c r="E417" s="20">
        <v>0.93103448275862066</v>
      </c>
    </row>
    <row r="418" spans="1:5" x14ac:dyDescent="0.25">
      <c r="A418" s="17">
        <v>1411</v>
      </c>
      <c r="B418" s="18">
        <v>3185</v>
      </c>
      <c r="C418" s="18">
        <v>7</v>
      </c>
      <c r="D418" s="18">
        <v>3856</v>
      </c>
      <c r="E418" s="20">
        <v>0.82598547717842319</v>
      </c>
    </row>
    <row r="419" spans="1:5" x14ac:dyDescent="0.25">
      <c r="A419" s="17">
        <v>1412</v>
      </c>
      <c r="B419" s="18">
        <v>3824</v>
      </c>
      <c r="C419" s="18">
        <v>8</v>
      </c>
      <c r="D419" s="18">
        <v>3793</v>
      </c>
      <c r="E419" s="20">
        <v>1.0081729501713683</v>
      </c>
    </row>
    <row r="420" spans="1:5" x14ac:dyDescent="0.25">
      <c r="A420" s="17">
        <v>1413</v>
      </c>
      <c r="B420" s="18">
        <v>1410</v>
      </c>
      <c r="C420" s="18">
        <v>5</v>
      </c>
      <c r="D420" s="18">
        <v>1331</v>
      </c>
      <c r="E420" s="20">
        <v>1.0593538692712245</v>
      </c>
    </row>
    <row r="421" spans="1:5" x14ac:dyDescent="0.25">
      <c r="A421" s="17">
        <v>1414</v>
      </c>
      <c r="B421" s="18">
        <v>3648</v>
      </c>
      <c r="C421" s="18">
        <v>8</v>
      </c>
      <c r="D421" s="18">
        <v>4141</v>
      </c>
      <c r="E421" s="20">
        <v>0.88094663124849071</v>
      </c>
    </row>
    <row r="422" spans="1:5" x14ac:dyDescent="0.25">
      <c r="A422" s="17">
        <v>1415</v>
      </c>
      <c r="B422" s="18">
        <v>329</v>
      </c>
      <c r="C422" s="18">
        <v>1</v>
      </c>
      <c r="D422" s="18">
        <v>419</v>
      </c>
      <c r="E422" s="20">
        <v>0.78520286396181382</v>
      </c>
    </row>
    <row r="423" spans="1:5" x14ac:dyDescent="0.25">
      <c r="A423" s="17">
        <v>1416</v>
      </c>
      <c r="B423" s="18">
        <v>484</v>
      </c>
      <c r="C423" s="18">
        <v>1</v>
      </c>
      <c r="D423" s="18">
        <v>467</v>
      </c>
      <c r="E423" s="20">
        <v>1.0364025695931478</v>
      </c>
    </row>
    <row r="424" spans="1:5" x14ac:dyDescent="0.25">
      <c r="A424" s="17">
        <v>1417</v>
      </c>
      <c r="B424" s="18">
        <v>2770</v>
      </c>
      <c r="C424" s="18">
        <v>10</v>
      </c>
      <c r="D424" s="18">
        <v>3280</v>
      </c>
      <c r="E424" s="20">
        <v>0.84451219512195119</v>
      </c>
    </row>
    <row r="425" spans="1:5" x14ac:dyDescent="0.25">
      <c r="A425" s="17">
        <v>1418</v>
      </c>
      <c r="B425" s="18">
        <v>3066</v>
      </c>
      <c r="C425" s="18">
        <v>7</v>
      </c>
      <c r="D425" s="18">
        <v>3412</v>
      </c>
      <c r="E425" s="20">
        <v>0.89859320046893321</v>
      </c>
    </row>
    <row r="426" spans="1:5" x14ac:dyDescent="0.25">
      <c r="A426" s="17">
        <v>1419</v>
      </c>
      <c r="B426" s="18">
        <v>1440</v>
      </c>
      <c r="C426" s="18">
        <v>4</v>
      </c>
      <c r="D426" s="18">
        <v>1675</v>
      </c>
      <c r="E426" s="20">
        <v>0.85970149253731343</v>
      </c>
    </row>
    <row r="427" spans="1:5" x14ac:dyDescent="0.25">
      <c r="A427" s="17">
        <v>1420</v>
      </c>
      <c r="B427" s="18">
        <v>3816</v>
      </c>
      <c r="C427" s="18">
        <v>9</v>
      </c>
      <c r="D427" s="18">
        <v>3757</v>
      </c>
      <c r="E427" s="20">
        <v>1.0157040191642268</v>
      </c>
    </row>
    <row r="428" spans="1:5" x14ac:dyDescent="0.25">
      <c r="A428" s="17">
        <v>1421</v>
      </c>
      <c r="B428" s="18">
        <v>170</v>
      </c>
      <c r="C428" s="18">
        <v>2</v>
      </c>
      <c r="D428" s="18">
        <v>204</v>
      </c>
      <c r="E428" s="20">
        <v>0.83333333333333337</v>
      </c>
    </row>
    <row r="429" spans="1:5" x14ac:dyDescent="0.25">
      <c r="A429" s="17">
        <v>1422</v>
      </c>
      <c r="B429" s="18">
        <v>1325</v>
      </c>
      <c r="C429" s="18">
        <v>5</v>
      </c>
      <c r="D429" s="18">
        <v>1153</v>
      </c>
      <c r="E429" s="20">
        <v>1.1491760624457936</v>
      </c>
    </row>
    <row r="430" spans="1:5" x14ac:dyDescent="0.25">
      <c r="A430" s="17">
        <v>1423</v>
      </c>
      <c r="B430" s="18">
        <v>2470</v>
      </c>
      <c r="C430" s="18">
        <v>5</v>
      </c>
      <c r="D430" s="18">
        <v>2788</v>
      </c>
      <c r="E430" s="20">
        <v>0.88593974175035872</v>
      </c>
    </row>
    <row r="431" spans="1:5" x14ac:dyDescent="0.25">
      <c r="A431" s="17">
        <v>1424</v>
      </c>
      <c r="B431" s="18">
        <v>262</v>
      </c>
      <c r="C431" s="18">
        <v>1</v>
      </c>
      <c r="D431" s="18">
        <v>267</v>
      </c>
      <c r="E431" s="20">
        <v>0.98127340823970033</v>
      </c>
    </row>
    <row r="432" spans="1:5" x14ac:dyDescent="0.25">
      <c r="A432" s="17">
        <v>1425</v>
      </c>
      <c r="B432" s="18">
        <v>2422</v>
      </c>
      <c r="C432" s="18">
        <v>7</v>
      </c>
      <c r="D432" s="18">
        <v>3129</v>
      </c>
      <c r="E432" s="20">
        <v>0.77404921700223717</v>
      </c>
    </row>
    <row r="433" spans="1:5" x14ac:dyDescent="0.25">
      <c r="A433" s="17">
        <v>1426</v>
      </c>
      <c r="B433" s="18">
        <v>4419</v>
      </c>
      <c r="C433" s="18">
        <v>9</v>
      </c>
      <c r="D433" s="18">
        <v>4965</v>
      </c>
      <c r="E433" s="20">
        <v>0.89003021148036254</v>
      </c>
    </row>
    <row r="434" spans="1:5" x14ac:dyDescent="0.25">
      <c r="A434" s="17">
        <v>1427</v>
      </c>
      <c r="B434" s="18">
        <v>1836</v>
      </c>
      <c r="C434" s="18">
        <v>4</v>
      </c>
      <c r="D434" s="18">
        <v>2121</v>
      </c>
      <c r="E434" s="20">
        <v>0.86562942008486565</v>
      </c>
    </row>
    <row r="435" spans="1:5" x14ac:dyDescent="0.25">
      <c r="A435" s="17">
        <v>1428</v>
      </c>
      <c r="B435" s="18">
        <v>2780</v>
      </c>
      <c r="C435" s="18">
        <v>10</v>
      </c>
      <c r="D435" s="18">
        <v>2510</v>
      </c>
      <c r="E435" s="20">
        <v>1.1075697211155378</v>
      </c>
    </row>
    <row r="436" spans="1:5" x14ac:dyDescent="0.25">
      <c r="A436" s="17">
        <v>1429</v>
      </c>
      <c r="B436" s="18">
        <v>402</v>
      </c>
      <c r="C436" s="18">
        <v>6</v>
      </c>
      <c r="D436" s="18">
        <v>344</v>
      </c>
      <c r="E436" s="20">
        <v>1.1686046511627908</v>
      </c>
    </row>
    <row r="437" spans="1:5" x14ac:dyDescent="0.25">
      <c r="A437" s="17">
        <v>1430</v>
      </c>
      <c r="B437" s="18">
        <v>2331</v>
      </c>
      <c r="C437" s="18">
        <v>7</v>
      </c>
      <c r="D437" s="18">
        <v>2862</v>
      </c>
      <c r="E437" s="20">
        <v>0.81446540880503149</v>
      </c>
    </row>
    <row r="438" spans="1:5" x14ac:dyDescent="0.25">
      <c r="A438" s="17">
        <v>1431</v>
      </c>
      <c r="B438" s="18">
        <v>1032</v>
      </c>
      <c r="C438" s="18">
        <v>6</v>
      </c>
      <c r="D438" s="18">
        <v>850</v>
      </c>
      <c r="E438" s="20">
        <v>1.2141176470588235</v>
      </c>
    </row>
    <row r="439" spans="1:5" x14ac:dyDescent="0.25">
      <c r="A439" s="17">
        <v>1432</v>
      </c>
      <c r="B439" s="18">
        <v>1806</v>
      </c>
      <c r="C439" s="18">
        <v>6</v>
      </c>
      <c r="D439" s="18">
        <v>1924</v>
      </c>
      <c r="E439" s="20">
        <v>0.93866943866943864</v>
      </c>
    </row>
    <row r="440" spans="1:5" x14ac:dyDescent="0.25">
      <c r="A440" s="17">
        <v>1433</v>
      </c>
      <c r="B440" s="18">
        <v>1698</v>
      </c>
      <c r="C440" s="18">
        <v>6</v>
      </c>
      <c r="D440" s="18">
        <v>1677</v>
      </c>
      <c r="E440" s="20">
        <v>1.0125223613595706</v>
      </c>
    </row>
    <row r="441" spans="1:5" x14ac:dyDescent="0.25">
      <c r="A441" s="17">
        <v>1434</v>
      </c>
      <c r="B441" s="18">
        <v>1854</v>
      </c>
      <c r="C441" s="18">
        <v>6</v>
      </c>
      <c r="D441" s="18">
        <v>1600</v>
      </c>
      <c r="E441" s="20">
        <v>1.1587499999999999</v>
      </c>
    </row>
    <row r="442" spans="1:5" x14ac:dyDescent="0.25">
      <c r="A442" s="17">
        <v>1435</v>
      </c>
      <c r="B442" s="18">
        <v>819</v>
      </c>
      <c r="C442" s="18">
        <v>3</v>
      </c>
      <c r="D442" s="18">
        <v>908</v>
      </c>
      <c r="E442" s="20">
        <v>0.90198237885462551</v>
      </c>
    </row>
    <row r="443" spans="1:5" x14ac:dyDescent="0.25">
      <c r="A443" s="17">
        <v>1436</v>
      </c>
      <c r="B443" s="18">
        <v>164</v>
      </c>
      <c r="C443" s="18">
        <v>2</v>
      </c>
      <c r="D443" s="18">
        <v>212</v>
      </c>
      <c r="E443" s="20">
        <v>0.77358490566037741</v>
      </c>
    </row>
    <row r="444" spans="1:5" x14ac:dyDescent="0.25">
      <c r="A444" s="17">
        <v>1437</v>
      </c>
      <c r="B444" s="18">
        <v>228</v>
      </c>
      <c r="C444" s="18">
        <v>4</v>
      </c>
      <c r="D444" s="18">
        <v>220</v>
      </c>
      <c r="E444" s="20">
        <v>1.0363636363636364</v>
      </c>
    </row>
    <row r="445" spans="1:5" x14ac:dyDescent="0.25">
      <c r="A445" s="17">
        <v>1438</v>
      </c>
      <c r="B445" s="18">
        <v>980</v>
      </c>
      <c r="C445" s="18">
        <v>10</v>
      </c>
      <c r="D445" s="18">
        <v>862</v>
      </c>
      <c r="E445" s="20">
        <v>1.1368909512761021</v>
      </c>
    </row>
    <row r="446" spans="1:5" x14ac:dyDescent="0.25">
      <c r="A446" s="17">
        <v>1439</v>
      </c>
      <c r="B446" s="18">
        <v>740</v>
      </c>
      <c r="C446" s="18">
        <v>10</v>
      </c>
      <c r="D446" s="18">
        <v>635</v>
      </c>
      <c r="E446" s="20">
        <v>1.1653543307086613</v>
      </c>
    </row>
    <row r="447" spans="1:5" x14ac:dyDescent="0.25">
      <c r="A447" s="17">
        <v>1440</v>
      </c>
      <c r="B447" s="18">
        <v>252</v>
      </c>
      <c r="C447" s="18">
        <v>9</v>
      </c>
      <c r="D447" s="18">
        <v>277</v>
      </c>
      <c r="E447" s="20">
        <v>0.90974729241877261</v>
      </c>
    </row>
    <row r="448" spans="1:5" x14ac:dyDescent="0.25">
      <c r="A448" s="17">
        <v>1441</v>
      </c>
      <c r="B448" s="18">
        <v>2310</v>
      </c>
      <c r="C448" s="18">
        <v>10</v>
      </c>
      <c r="D448" s="18">
        <v>2603</v>
      </c>
      <c r="E448" s="20">
        <v>0.88743757203227047</v>
      </c>
    </row>
    <row r="449" spans="1:5" x14ac:dyDescent="0.25">
      <c r="A449" s="17">
        <v>1442</v>
      </c>
      <c r="B449" s="18">
        <v>2718</v>
      </c>
      <c r="C449" s="18">
        <v>9</v>
      </c>
      <c r="D449" s="18">
        <v>3110</v>
      </c>
      <c r="E449" s="20">
        <v>0.87395498392282955</v>
      </c>
    </row>
    <row r="450" spans="1:5" x14ac:dyDescent="0.25">
      <c r="A450" s="17">
        <v>1443</v>
      </c>
      <c r="B450" s="18">
        <v>182</v>
      </c>
      <c r="C450" s="18">
        <v>1</v>
      </c>
      <c r="D450" s="18">
        <v>216</v>
      </c>
      <c r="E450" s="20">
        <v>0.84259259259259256</v>
      </c>
    </row>
    <row r="451" spans="1:5" x14ac:dyDescent="0.25">
      <c r="A451" s="17">
        <v>1444</v>
      </c>
      <c r="B451" s="18">
        <v>1790</v>
      </c>
      <c r="C451" s="18">
        <v>5</v>
      </c>
      <c r="D451" s="18">
        <v>1714</v>
      </c>
      <c r="E451" s="20">
        <v>1.044340723453909</v>
      </c>
    </row>
    <row r="452" spans="1:5" x14ac:dyDescent="0.25">
      <c r="A452" s="17">
        <v>1445</v>
      </c>
      <c r="B452" s="18">
        <v>609</v>
      </c>
      <c r="C452" s="18">
        <v>3</v>
      </c>
      <c r="D452" s="18">
        <v>523</v>
      </c>
      <c r="E452" s="20">
        <v>1.1644359464627152</v>
      </c>
    </row>
    <row r="453" spans="1:5" x14ac:dyDescent="0.25">
      <c r="A453" s="17">
        <v>1446</v>
      </c>
      <c r="B453" s="18">
        <v>776</v>
      </c>
      <c r="C453" s="18">
        <v>8</v>
      </c>
      <c r="D453" s="18">
        <v>899</v>
      </c>
      <c r="E453" s="20">
        <v>0.86318131256952169</v>
      </c>
    </row>
    <row r="454" spans="1:5" x14ac:dyDescent="0.25">
      <c r="A454" s="17">
        <v>1447</v>
      </c>
      <c r="B454" s="18">
        <v>2832</v>
      </c>
      <c r="C454" s="18">
        <v>6</v>
      </c>
      <c r="D454" s="18">
        <v>3356</v>
      </c>
      <c r="E454" s="20">
        <v>0.84386174016686533</v>
      </c>
    </row>
    <row r="455" spans="1:5" x14ac:dyDescent="0.25">
      <c r="A455" s="17">
        <v>1448</v>
      </c>
      <c r="B455" s="18">
        <v>388</v>
      </c>
      <c r="C455" s="18">
        <v>2</v>
      </c>
      <c r="D455" s="18">
        <v>383</v>
      </c>
      <c r="E455" s="20">
        <v>1.0130548302872062</v>
      </c>
    </row>
    <row r="456" spans="1:5" x14ac:dyDescent="0.25">
      <c r="A456" s="17">
        <v>1449</v>
      </c>
      <c r="B456" s="18">
        <v>2250</v>
      </c>
      <c r="C456" s="18">
        <v>5</v>
      </c>
      <c r="D456" s="18">
        <v>2040</v>
      </c>
      <c r="E456" s="20">
        <v>1.1029411764705883</v>
      </c>
    </row>
    <row r="457" spans="1:5" x14ac:dyDescent="0.25">
      <c r="A457" s="17">
        <v>1450</v>
      </c>
      <c r="B457" s="18">
        <v>928</v>
      </c>
      <c r="C457" s="18">
        <v>4</v>
      </c>
      <c r="D457" s="18">
        <v>1030</v>
      </c>
      <c r="E457" s="20">
        <v>0.90097087378640772</v>
      </c>
    </row>
    <row r="458" spans="1:5" x14ac:dyDescent="0.25">
      <c r="A458" s="17">
        <v>1451</v>
      </c>
      <c r="B458" s="18">
        <v>72</v>
      </c>
      <c r="C458" s="18">
        <v>3</v>
      </c>
      <c r="D458" s="18">
        <v>67</v>
      </c>
      <c r="E458" s="20">
        <v>1.0746268656716418</v>
      </c>
    </row>
    <row r="459" spans="1:5" x14ac:dyDescent="0.25">
      <c r="A459" s="17">
        <v>1452</v>
      </c>
      <c r="B459" s="18">
        <v>4720</v>
      </c>
      <c r="C459" s="18">
        <v>10</v>
      </c>
      <c r="D459" s="18">
        <v>5473</v>
      </c>
      <c r="E459" s="20">
        <v>0.86241549424447284</v>
      </c>
    </row>
    <row r="460" spans="1:5" x14ac:dyDescent="0.25">
      <c r="A460" s="17">
        <v>1453</v>
      </c>
      <c r="B460" s="18">
        <v>1134</v>
      </c>
      <c r="C460" s="18">
        <v>6</v>
      </c>
      <c r="D460" s="18">
        <v>935</v>
      </c>
      <c r="E460" s="20">
        <v>1.2128342245989305</v>
      </c>
    </row>
    <row r="461" spans="1:5" x14ac:dyDescent="0.25">
      <c r="A461" s="17">
        <v>1454</v>
      </c>
      <c r="B461" s="18">
        <v>405</v>
      </c>
      <c r="C461" s="18">
        <v>3</v>
      </c>
      <c r="D461" s="18">
        <v>325</v>
      </c>
      <c r="E461" s="20">
        <v>1.2461538461538462</v>
      </c>
    </row>
    <row r="462" spans="1:5" x14ac:dyDescent="0.25">
      <c r="A462" s="17">
        <v>1455</v>
      </c>
      <c r="B462" s="18">
        <v>286</v>
      </c>
      <c r="C462" s="18">
        <v>2</v>
      </c>
      <c r="D462" s="18">
        <v>348</v>
      </c>
      <c r="E462" s="20">
        <v>0.82183908045977017</v>
      </c>
    </row>
    <row r="463" spans="1:5" x14ac:dyDescent="0.25">
      <c r="A463" s="17">
        <v>1456</v>
      </c>
      <c r="B463" s="18">
        <v>1410</v>
      </c>
      <c r="C463" s="18">
        <v>3</v>
      </c>
      <c r="D463" s="18">
        <v>1435</v>
      </c>
      <c r="E463" s="20">
        <v>0.98257839721254359</v>
      </c>
    </row>
    <row r="464" spans="1:5" x14ac:dyDescent="0.25">
      <c r="A464" s="17">
        <v>1457</v>
      </c>
      <c r="B464" s="18">
        <v>906</v>
      </c>
      <c r="C464" s="18">
        <v>2</v>
      </c>
      <c r="D464" s="18">
        <v>751</v>
      </c>
      <c r="E464" s="20">
        <v>1.2063914780292944</v>
      </c>
    </row>
    <row r="465" spans="1:5" x14ac:dyDescent="0.25">
      <c r="A465" s="17">
        <v>1458</v>
      </c>
      <c r="B465" s="18">
        <v>3648</v>
      </c>
      <c r="C465" s="18">
        <v>8</v>
      </c>
      <c r="D465" s="18">
        <v>3537</v>
      </c>
      <c r="E465" s="20">
        <v>1.0313825275657336</v>
      </c>
    </row>
    <row r="466" spans="1:5" x14ac:dyDescent="0.25">
      <c r="A466" s="17">
        <v>1459</v>
      </c>
      <c r="B466" s="18">
        <v>548</v>
      </c>
      <c r="C466" s="18">
        <v>4</v>
      </c>
      <c r="D466" s="18">
        <v>704</v>
      </c>
      <c r="E466" s="20">
        <v>0.77840909090909094</v>
      </c>
    </row>
    <row r="467" spans="1:5" x14ac:dyDescent="0.25">
      <c r="A467" s="17">
        <v>1460</v>
      </c>
      <c r="B467" s="18">
        <v>1140</v>
      </c>
      <c r="C467" s="18">
        <v>5</v>
      </c>
      <c r="D467" s="18">
        <v>1175</v>
      </c>
      <c r="E467" s="20">
        <v>0.97021276595744677</v>
      </c>
    </row>
    <row r="468" spans="1:5" x14ac:dyDescent="0.25">
      <c r="A468" s="17">
        <v>1461</v>
      </c>
      <c r="B468" s="18">
        <v>1421</v>
      </c>
      <c r="C468" s="18">
        <v>7</v>
      </c>
      <c r="D468" s="18">
        <v>1731</v>
      </c>
      <c r="E468" s="20">
        <v>0.82091276718659734</v>
      </c>
    </row>
    <row r="469" spans="1:5" x14ac:dyDescent="0.25">
      <c r="A469" s="17">
        <v>1462</v>
      </c>
      <c r="B469" s="18">
        <v>934</v>
      </c>
      <c r="C469" s="18">
        <v>2</v>
      </c>
      <c r="D469" s="18">
        <v>956</v>
      </c>
      <c r="E469" s="20">
        <v>0.97698744769874479</v>
      </c>
    </row>
    <row r="470" spans="1:5" x14ac:dyDescent="0.25">
      <c r="A470" s="17">
        <v>1463</v>
      </c>
      <c r="B470" s="18">
        <v>480</v>
      </c>
      <c r="C470" s="18">
        <v>6</v>
      </c>
      <c r="D470" s="18">
        <v>612</v>
      </c>
      <c r="E470" s="20">
        <v>0.78431372549019607</v>
      </c>
    </row>
    <row r="471" spans="1:5" x14ac:dyDescent="0.25">
      <c r="A471" s="17">
        <v>1464</v>
      </c>
      <c r="B471" s="18">
        <v>2472</v>
      </c>
      <c r="C471" s="18">
        <v>6</v>
      </c>
      <c r="D471" s="18">
        <v>2832</v>
      </c>
      <c r="E471" s="20">
        <v>0.8728813559322034</v>
      </c>
    </row>
    <row r="472" spans="1:5" x14ac:dyDescent="0.25">
      <c r="A472" s="17">
        <v>1465</v>
      </c>
      <c r="B472" s="18">
        <v>136</v>
      </c>
      <c r="C472" s="18">
        <v>8</v>
      </c>
      <c r="D472" s="18">
        <v>121</v>
      </c>
      <c r="E472" s="20">
        <v>1.1239669421487604</v>
      </c>
    </row>
    <row r="473" spans="1:5" x14ac:dyDescent="0.25">
      <c r="A473" s="17">
        <v>1466</v>
      </c>
      <c r="B473" s="18">
        <v>2742</v>
      </c>
      <c r="C473" s="18">
        <v>6</v>
      </c>
      <c r="D473" s="18">
        <v>2929</v>
      </c>
      <c r="E473" s="20">
        <v>0.93615568453397069</v>
      </c>
    </row>
    <row r="474" spans="1:5" x14ac:dyDescent="0.25">
      <c r="A474" s="17">
        <v>1467</v>
      </c>
      <c r="B474" s="18">
        <v>365</v>
      </c>
      <c r="C474" s="18">
        <v>1</v>
      </c>
      <c r="D474" s="18">
        <v>330</v>
      </c>
      <c r="E474" s="20">
        <v>1.106060606060606</v>
      </c>
    </row>
    <row r="475" spans="1:5" x14ac:dyDescent="0.25">
      <c r="A475" s="17">
        <v>1468</v>
      </c>
      <c r="B475" s="18">
        <v>744</v>
      </c>
      <c r="C475" s="18">
        <v>8</v>
      </c>
      <c r="D475" s="18">
        <v>925</v>
      </c>
      <c r="E475" s="20">
        <v>0.80432432432432432</v>
      </c>
    </row>
    <row r="476" spans="1:5" x14ac:dyDescent="0.25">
      <c r="A476" s="17">
        <v>1469</v>
      </c>
      <c r="B476" s="18">
        <v>2410</v>
      </c>
      <c r="C476" s="18">
        <v>5</v>
      </c>
      <c r="D476" s="18">
        <v>2728</v>
      </c>
      <c r="E476" s="20">
        <v>0.88343108504398826</v>
      </c>
    </row>
    <row r="477" spans="1:5" x14ac:dyDescent="0.25">
      <c r="A477" s="17">
        <v>1470</v>
      </c>
      <c r="B477" s="18">
        <v>1044</v>
      </c>
      <c r="C477" s="18">
        <v>3</v>
      </c>
      <c r="D477" s="18">
        <v>1287</v>
      </c>
      <c r="E477" s="20">
        <v>0.81118881118881114</v>
      </c>
    </row>
    <row r="478" spans="1:5" x14ac:dyDescent="0.25">
      <c r="A478" s="17">
        <v>1471</v>
      </c>
      <c r="B478" s="18">
        <v>3753</v>
      </c>
      <c r="C478" s="18">
        <v>9</v>
      </c>
      <c r="D478" s="18">
        <v>3380</v>
      </c>
      <c r="E478" s="20">
        <v>1.1103550295857989</v>
      </c>
    </row>
    <row r="479" spans="1:5" x14ac:dyDescent="0.25">
      <c r="A479" s="17">
        <v>1472</v>
      </c>
      <c r="B479" s="18">
        <v>3870</v>
      </c>
      <c r="C479" s="18">
        <v>9</v>
      </c>
      <c r="D479" s="18">
        <v>4894</v>
      </c>
      <c r="E479" s="20">
        <v>0.79076420106252554</v>
      </c>
    </row>
    <row r="480" spans="1:5" x14ac:dyDescent="0.25">
      <c r="A480" s="17">
        <v>1473</v>
      </c>
      <c r="B480" s="18">
        <v>1850</v>
      </c>
      <c r="C480" s="18">
        <v>10</v>
      </c>
      <c r="D480" s="18">
        <v>2145</v>
      </c>
      <c r="E480" s="20">
        <v>0.86247086247086246</v>
      </c>
    </row>
    <row r="481" spans="1:5" x14ac:dyDescent="0.25">
      <c r="A481" s="17">
        <v>1474</v>
      </c>
      <c r="B481" s="18">
        <v>1940</v>
      </c>
      <c r="C481" s="18">
        <v>5</v>
      </c>
      <c r="D481" s="18">
        <v>2313</v>
      </c>
      <c r="E481" s="20">
        <v>0.83873757025508</v>
      </c>
    </row>
    <row r="482" spans="1:5" x14ac:dyDescent="0.25">
      <c r="A482" s="17">
        <v>1475</v>
      </c>
      <c r="B482" s="18">
        <v>1260</v>
      </c>
      <c r="C482" s="18">
        <v>9</v>
      </c>
      <c r="D482" s="18">
        <v>1472</v>
      </c>
      <c r="E482" s="20">
        <v>0.85597826086956519</v>
      </c>
    </row>
    <row r="483" spans="1:5" x14ac:dyDescent="0.25">
      <c r="A483" s="17">
        <v>1476</v>
      </c>
      <c r="B483" s="18">
        <v>3045</v>
      </c>
      <c r="C483" s="18">
        <v>7</v>
      </c>
      <c r="D483" s="18">
        <v>2957</v>
      </c>
      <c r="E483" s="20">
        <v>1.0297598917822117</v>
      </c>
    </row>
    <row r="484" spans="1:5" x14ac:dyDescent="0.25">
      <c r="A484" s="17">
        <v>1477</v>
      </c>
      <c r="B484" s="18">
        <v>2898</v>
      </c>
      <c r="C484" s="18">
        <v>7</v>
      </c>
      <c r="D484" s="18">
        <v>3201</v>
      </c>
      <c r="E484" s="20">
        <v>0.90534208059981258</v>
      </c>
    </row>
    <row r="485" spans="1:5" x14ac:dyDescent="0.25">
      <c r="A485" s="17">
        <v>1478</v>
      </c>
      <c r="B485" s="18">
        <v>369</v>
      </c>
      <c r="C485" s="18">
        <v>9</v>
      </c>
      <c r="D485" s="18">
        <v>470</v>
      </c>
      <c r="E485" s="20">
        <v>0.78510638297872337</v>
      </c>
    </row>
    <row r="486" spans="1:5" x14ac:dyDescent="0.25">
      <c r="A486" s="17">
        <v>1479</v>
      </c>
      <c r="B486" s="18">
        <v>700</v>
      </c>
      <c r="C486" s="18">
        <v>10</v>
      </c>
      <c r="D486" s="18">
        <v>640</v>
      </c>
      <c r="E486" s="20">
        <v>1.09375</v>
      </c>
    </row>
    <row r="487" spans="1:5" x14ac:dyDescent="0.25">
      <c r="A487" s="17">
        <v>1480</v>
      </c>
      <c r="B487" s="18">
        <v>54</v>
      </c>
      <c r="C487" s="18">
        <v>2</v>
      </c>
      <c r="D487" s="18">
        <v>63</v>
      </c>
      <c r="E487" s="20">
        <v>0.8571428571428571</v>
      </c>
    </row>
    <row r="488" spans="1:5" x14ac:dyDescent="0.25">
      <c r="A488" s="17">
        <v>1481</v>
      </c>
      <c r="B488" s="18">
        <v>3220</v>
      </c>
      <c r="C488" s="18">
        <v>7</v>
      </c>
      <c r="D488" s="18">
        <v>2978</v>
      </c>
      <c r="E488" s="20">
        <v>1.081262592343855</v>
      </c>
    </row>
    <row r="489" spans="1:5" x14ac:dyDescent="0.25">
      <c r="A489" s="17">
        <v>1482</v>
      </c>
      <c r="B489" s="18">
        <v>336</v>
      </c>
      <c r="C489" s="18">
        <v>7</v>
      </c>
      <c r="D489" s="18">
        <v>420</v>
      </c>
      <c r="E489" s="20">
        <v>0.8</v>
      </c>
    </row>
    <row r="490" spans="1:5" x14ac:dyDescent="0.25">
      <c r="A490" s="17">
        <v>1483</v>
      </c>
      <c r="B490" s="18">
        <v>3906</v>
      </c>
      <c r="C490" s="18">
        <v>9</v>
      </c>
      <c r="D490" s="18">
        <v>4073</v>
      </c>
      <c r="E490" s="20">
        <v>0.95899828136508714</v>
      </c>
    </row>
    <row r="491" spans="1:5" x14ac:dyDescent="0.25">
      <c r="A491" s="17">
        <v>1484</v>
      </c>
      <c r="B491" s="18">
        <v>692</v>
      </c>
      <c r="C491" s="18">
        <v>4</v>
      </c>
      <c r="D491" s="18">
        <v>563</v>
      </c>
      <c r="E491" s="20">
        <v>1.2291296625222026</v>
      </c>
    </row>
    <row r="492" spans="1:5" x14ac:dyDescent="0.25">
      <c r="A492" s="17">
        <v>1485</v>
      </c>
      <c r="B492" s="18">
        <v>910</v>
      </c>
      <c r="C492" s="18">
        <v>7</v>
      </c>
      <c r="D492" s="18">
        <v>958</v>
      </c>
      <c r="E492" s="20">
        <v>0.94989561586638827</v>
      </c>
    </row>
    <row r="493" spans="1:5" x14ac:dyDescent="0.25">
      <c r="A493" s="17">
        <v>1486</v>
      </c>
      <c r="B493" s="18">
        <v>1144</v>
      </c>
      <c r="C493" s="18">
        <v>8</v>
      </c>
      <c r="D493" s="18">
        <v>1068</v>
      </c>
      <c r="E493" s="20">
        <v>1.0711610486891385</v>
      </c>
    </row>
    <row r="494" spans="1:5" x14ac:dyDescent="0.25">
      <c r="A494" s="17">
        <v>1487</v>
      </c>
      <c r="B494" s="18">
        <v>440</v>
      </c>
      <c r="C494" s="18">
        <v>8</v>
      </c>
      <c r="D494" s="18">
        <v>510</v>
      </c>
      <c r="E494" s="20">
        <v>0.86274509803921573</v>
      </c>
    </row>
    <row r="495" spans="1:5" x14ac:dyDescent="0.25">
      <c r="A495" s="17">
        <v>1488</v>
      </c>
      <c r="B495" s="18">
        <v>130</v>
      </c>
      <c r="C495" s="18">
        <v>10</v>
      </c>
      <c r="D495" s="18">
        <v>157</v>
      </c>
      <c r="E495" s="20">
        <v>0.82802547770700641</v>
      </c>
    </row>
    <row r="496" spans="1:5" x14ac:dyDescent="0.25">
      <c r="A496" s="17">
        <v>1489</v>
      </c>
      <c r="B496" s="18">
        <v>3073</v>
      </c>
      <c r="C496" s="18">
        <v>7</v>
      </c>
      <c r="D496" s="18">
        <v>2852</v>
      </c>
      <c r="E496" s="20">
        <v>1.0774894810659186</v>
      </c>
    </row>
    <row r="497" spans="1:5" x14ac:dyDescent="0.25">
      <c r="A497" s="17">
        <v>1490</v>
      </c>
      <c r="B497" s="18">
        <v>2720</v>
      </c>
      <c r="C497" s="18">
        <v>10</v>
      </c>
      <c r="D497" s="18">
        <v>3069</v>
      </c>
      <c r="E497" s="20">
        <v>0.88628217660475728</v>
      </c>
    </row>
    <row r="498" spans="1:5" x14ac:dyDescent="0.25">
      <c r="A498" s="17">
        <v>1491</v>
      </c>
      <c r="B498" s="18">
        <v>956</v>
      </c>
      <c r="C498" s="18">
        <v>2</v>
      </c>
      <c r="D498" s="18">
        <v>837</v>
      </c>
      <c r="E498" s="20">
        <v>1.1421744324970131</v>
      </c>
    </row>
    <row r="499" spans="1:5" x14ac:dyDescent="0.25">
      <c r="A499" s="17">
        <v>1492</v>
      </c>
      <c r="B499" s="18">
        <v>1632</v>
      </c>
      <c r="C499" s="18">
        <v>4</v>
      </c>
      <c r="D499" s="18">
        <v>1343</v>
      </c>
      <c r="E499" s="20">
        <v>1.2151898734177216</v>
      </c>
    </row>
    <row r="500" spans="1:5" x14ac:dyDescent="0.25">
      <c r="A500" s="17">
        <v>1493</v>
      </c>
      <c r="B500" s="18">
        <v>2488</v>
      </c>
      <c r="C500" s="18">
        <v>8</v>
      </c>
      <c r="D500" s="18">
        <v>2320</v>
      </c>
      <c r="E500" s="20">
        <v>1.0724137931034483</v>
      </c>
    </row>
    <row r="501" spans="1:5" x14ac:dyDescent="0.25">
      <c r="A501" s="17">
        <v>1494</v>
      </c>
      <c r="B501" s="18">
        <v>950</v>
      </c>
      <c r="C501" s="18">
        <v>2</v>
      </c>
      <c r="D501" s="18">
        <v>1213</v>
      </c>
      <c r="E501" s="20">
        <v>0.78318219291014013</v>
      </c>
    </row>
    <row r="502" spans="1:5" x14ac:dyDescent="0.25">
      <c r="A502" s="17">
        <v>1495</v>
      </c>
      <c r="B502" s="18">
        <v>1472</v>
      </c>
      <c r="C502" s="18">
        <v>8</v>
      </c>
      <c r="D502" s="18">
        <v>1439</v>
      </c>
      <c r="E502" s="20">
        <v>1.0229325920778318</v>
      </c>
    </row>
    <row r="503" spans="1:5" x14ac:dyDescent="0.25">
      <c r="A503" s="17">
        <v>1496</v>
      </c>
      <c r="B503" s="18">
        <v>1690</v>
      </c>
      <c r="C503" s="18">
        <v>10</v>
      </c>
      <c r="D503" s="18">
        <v>1581</v>
      </c>
      <c r="E503" s="20">
        <v>1.0689437065148639</v>
      </c>
    </row>
    <row r="504" spans="1:5" x14ac:dyDescent="0.25">
      <c r="A504" s="17">
        <v>1497</v>
      </c>
      <c r="B504" s="18">
        <v>2526</v>
      </c>
      <c r="C504" s="18">
        <v>6</v>
      </c>
      <c r="D504" s="18">
        <v>2420</v>
      </c>
      <c r="E504" s="20">
        <v>1.043801652892562</v>
      </c>
    </row>
    <row r="505" spans="1:5" x14ac:dyDescent="0.25">
      <c r="A505" s="17">
        <v>1498</v>
      </c>
      <c r="B505" s="18">
        <v>1344</v>
      </c>
      <c r="C505" s="18">
        <v>6</v>
      </c>
      <c r="D505" s="18">
        <v>1719</v>
      </c>
      <c r="E505" s="20">
        <v>0.78184991273996507</v>
      </c>
    </row>
    <row r="506" spans="1:5" x14ac:dyDescent="0.25">
      <c r="A506" s="17">
        <v>1499</v>
      </c>
      <c r="B506" s="18">
        <v>4260</v>
      </c>
      <c r="C506" s="18">
        <v>10</v>
      </c>
      <c r="D506" s="18">
        <v>5207</v>
      </c>
      <c r="E506" s="20">
        <v>0.81812944113693109</v>
      </c>
    </row>
    <row r="507" spans="1:5" x14ac:dyDescent="0.25">
      <c r="A507" s="17">
        <v>1500</v>
      </c>
      <c r="B507" s="18">
        <v>732</v>
      </c>
      <c r="C507" s="18">
        <v>4</v>
      </c>
      <c r="D507" s="18">
        <v>833</v>
      </c>
      <c r="E507" s="20">
        <v>0.8787515006002401</v>
      </c>
    </row>
    <row r="508" spans="1:5" x14ac:dyDescent="0.25">
      <c r="A508">
        <f>COUNT(A8:A507)</f>
        <v>500</v>
      </c>
      <c r="B508">
        <f>SUM(B8:B507)</f>
        <v>741142</v>
      </c>
      <c r="C508">
        <f t="shared" ref="C508:E508" si="0">SUM(C8:C507)</f>
        <v>2797</v>
      </c>
      <c r="D508">
        <f t="shared" si="0"/>
        <v>778118</v>
      </c>
      <c r="E508" s="21">
        <f t="shared" si="0"/>
        <v>484.56253240357165</v>
      </c>
    </row>
  </sheetData>
  <mergeCells count="8">
    <mergeCell ref="J39:K39"/>
    <mergeCell ref="M40:N40"/>
    <mergeCell ref="J1:K1"/>
    <mergeCell ref="M1:N1"/>
    <mergeCell ref="J8:K8"/>
    <mergeCell ref="M8:N8"/>
    <mergeCell ref="J22:K22"/>
    <mergeCell ref="M22:O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5"/>
  <sheetViews>
    <sheetView tabSelected="1" zoomScaleNormal="100" workbookViewId="0">
      <selection activeCell="I69" sqref="I69"/>
    </sheetView>
  </sheetViews>
  <sheetFormatPr defaultRowHeight="15" x14ac:dyDescent="0.25"/>
  <cols>
    <col min="3" max="3" width="2.85546875" customWidth="1"/>
    <col min="6" max="6" width="4.7109375" customWidth="1"/>
    <col min="9" max="9" width="2.85546875" customWidth="1"/>
    <col min="12" max="12" width="2.85546875" customWidth="1"/>
  </cols>
  <sheetData>
    <row r="1" spans="1:19" x14ac:dyDescent="0.25">
      <c r="A1" s="25" t="s">
        <v>237</v>
      </c>
      <c r="B1" s="26"/>
      <c r="C1" s="26"/>
      <c r="D1" s="26"/>
      <c r="E1" s="26"/>
      <c r="F1" s="26"/>
      <c r="G1" s="26"/>
      <c r="H1" s="26"/>
      <c r="I1" s="26"/>
      <c r="J1" s="26"/>
      <c r="K1" s="26"/>
      <c r="L1" s="26"/>
      <c r="M1" s="26"/>
      <c r="N1" s="26"/>
      <c r="O1" s="26"/>
      <c r="P1" s="26"/>
      <c r="Q1" s="26"/>
      <c r="R1" s="26"/>
      <c r="S1" s="26"/>
    </row>
    <row r="2" spans="1:19" x14ac:dyDescent="0.25">
      <c r="A2" s="26"/>
      <c r="B2" s="26"/>
      <c r="C2" s="26"/>
      <c r="D2" s="26"/>
      <c r="E2" s="26"/>
      <c r="F2" s="26"/>
      <c r="G2" s="26"/>
      <c r="H2" s="26"/>
      <c r="I2" s="26"/>
      <c r="J2" s="26"/>
      <c r="K2" s="26"/>
      <c r="L2" s="26"/>
      <c r="M2" s="26"/>
      <c r="N2" s="26"/>
      <c r="O2" s="26"/>
      <c r="P2" s="26"/>
      <c r="Q2" s="26"/>
      <c r="R2" s="26"/>
      <c r="S2" s="26"/>
    </row>
    <row r="3" spans="1:19" x14ac:dyDescent="0.25">
      <c r="A3" s="26"/>
      <c r="B3" s="26"/>
      <c r="C3" s="26"/>
      <c r="D3" s="26"/>
      <c r="E3" s="26"/>
      <c r="F3" s="26"/>
      <c r="G3" s="26"/>
      <c r="H3" s="26"/>
      <c r="I3" s="26"/>
      <c r="J3" s="26"/>
      <c r="K3" s="26"/>
      <c r="L3" s="26"/>
      <c r="M3" s="26"/>
      <c r="N3" s="26"/>
      <c r="O3" s="26"/>
      <c r="P3" s="26"/>
      <c r="Q3" s="26"/>
      <c r="R3" s="26"/>
      <c r="S3" s="26"/>
    </row>
    <row r="4" spans="1:19" x14ac:dyDescent="0.25">
      <c r="A4" s="24"/>
      <c r="B4" s="24"/>
      <c r="C4" s="24"/>
      <c r="D4" s="24"/>
      <c r="E4" s="24"/>
      <c r="F4" s="24"/>
      <c r="G4" s="24"/>
      <c r="H4" s="24"/>
      <c r="I4" s="24"/>
      <c r="J4" s="24"/>
      <c r="K4" s="24"/>
      <c r="L4" s="24"/>
      <c r="M4" s="24"/>
      <c r="N4" s="24"/>
      <c r="O4" s="24"/>
      <c r="P4" s="24"/>
      <c r="Q4" s="24"/>
      <c r="R4" s="24"/>
      <c r="S4" s="24"/>
    </row>
    <row r="5" spans="1:19" x14ac:dyDescent="0.25">
      <c r="A5" s="24"/>
      <c r="B5" s="24"/>
      <c r="C5" s="24"/>
      <c r="D5" s="24"/>
      <c r="E5" s="24"/>
      <c r="F5" s="24"/>
      <c r="G5" s="24"/>
      <c r="H5" s="24"/>
      <c r="I5" s="24"/>
      <c r="J5" s="24"/>
      <c r="K5" s="24"/>
      <c r="L5" s="24"/>
      <c r="M5" s="24"/>
      <c r="N5" s="24"/>
      <c r="O5" s="24"/>
      <c r="P5" s="24"/>
      <c r="Q5" s="24"/>
      <c r="R5" s="24"/>
      <c r="S5" s="24"/>
    </row>
    <row r="6" spans="1:19" x14ac:dyDescent="0.25">
      <c r="A6" s="24"/>
      <c r="B6" s="24"/>
      <c r="C6" s="24"/>
      <c r="D6" s="24"/>
      <c r="E6" s="24"/>
      <c r="F6" s="24"/>
      <c r="G6" s="24"/>
      <c r="H6" s="24"/>
      <c r="I6" s="24"/>
      <c r="J6" s="24"/>
      <c r="K6" s="24"/>
      <c r="L6" s="24"/>
      <c r="M6" s="24"/>
      <c r="N6" s="24"/>
      <c r="O6" s="24"/>
      <c r="P6" s="24"/>
      <c r="Q6" s="24"/>
      <c r="R6" s="24"/>
      <c r="S6" s="24"/>
    </row>
    <row r="7" spans="1:19" x14ac:dyDescent="0.25">
      <c r="A7" s="24"/>
      <c r="B7" s="24"/>
      <c r="C7" s="24"/>
      <c r="D7" s="24"/>
      <c r="E7" s="24"/>
      <c r="F7" s="24"/>
      <c r="G7" s="24"/>
      <c r="H7" s="24"/>
      <c r="I7" s="24"/>
      <c r="J7" s="24"/>
      <c r="K7" s="24"/>
      <c r="L7" s="24"/>
      <c r="M7" s="24"/>
      <c r="N7" s="24"/>
      <c r="O7" s="24"/>
      <c r="P7" s="24"/>
      <c r="Q7" s="24"/>
      <c r="R7" s="24"/>
      <c r="S7" s="24"/>
    </row>
    <row r="8" spans="1:19" x14ac:dyDescent="0.25">
      <c r="A8" s="24"/>
      <c r="B8" s="24"/>
      <c r="C8" s="24"/>
      <c r="D8" s="24"/>
      <c r="E8" s="24"/>
      <c r="F8" s="24"/>
      <c r="G8" s="24"/>
      <c r="H8" s="24"/>
      <c r="I8" s="24"/>
      <c r="J8" s="24"/>
      <c r="K8" s="24"/>
      <c r="L8" s="24"/>
      <c r="M8" s="24"/>
      <c r="N8" s="24"/>
      <c r="O8" s="24"/>
      <c r="P8" s="24"/>
      <c r="Q8" s="24"/>
      <c r="R8" s="24"/>
      <c r="S8" s="24"/>
    </row>
    <row r="9" spans="1:19" x14ac:dyDescent="0.25">
      <c r="A9" s="24"/>
      <c r="B9" s="24"/>
      <c r="C9" s="24"/>
      <c r="D9" s="24"/>
      <c r="E9" s="24"/>
      <c r="F9" s="24"/>
      <c r="G9" s="24"/>
      <c r="H9" s="24"/>
      <c r="I9" s="24"/>
      <c r="J9" s="24"/>
      <c r="K9" s="24"/>
      <c r="L9" s="24"/>
      <c r="M9" s="24"/>
      <c r="N9" s="24"/>
      <c r="O9" s="24"/>
      <c r="P9" s="24"/>
      <c r="Q9" s="24"/>
      <c r="R9" s="24"/>
      <c r="S9" s="24"/>
    </row>
    <row r="10" spans="1:19" x14ac:dyDescent="0.25">
      <c r="A10" s="24"/>
      <c r="B10" s="24"/>
      <c r="C10" s="24"/>
      <c r="D10" s="24"/>
      <c r="E10" s="24"/>
      <c r="F10" s="24"/>
      <c r="G10" s="24"/>
      <c r="H10" s="24"/>
      <c r="I10" s="24"/>
      <c r="J10" s="24"/>
      <c r="K10" s="24"/>
      <c r="L10" s="24"/>
      <c r="M10" s="24"/>
      <c r="N10" s="24"/>
      <c r="O10" s="24"/>
      <c r="P10" s="24"/>
      <c r="Q10" s="24"/>
      <c r="R10" s="24"/>
      <c r="S10" s="24"/>
    </row>
    <row r="11" spans="1:19" x14ac:dyDescent="0.25">
      <c r="A11" s="24"/>
      <c r="B11" s="24"/>
      <c r="C11" s="24"/>
      <c r="D11" s="24"/>
      <c r="E11" s="24"/>
      <c r="F11" s="24"/>
      <c r="G11" s="24"/>
      <c r="H11" s="24"/>
      <c r="I11" s="24"/>
      <c r="J11" s="24"/>
      <c r="K11" s="24"/>
      <c r="L11" s="24"/>
      <c r="M11" s="24"/>
      <c r="N11" s="24"/>
      <c r="O11" s="24"/>
      <c r="P11" s="24"/>
      <c r="Q11" s="24"/>
      <c r="R11" s="24"/>
      <c r="S11" s="24"/>
    </row>
    <row r="12" spans="1:19" x14ac:dyDescent="0.25">
      <c r="A12" s="24"/>
      <c r="B12" s="24"/>
      <c r="C12" s="24"/>
      <c r="D12" s="24"/>
      <c r="E12" s="24"/>
      <c r="F12" s="24"/>
      <c r="G12" s="24"/>
      <c r="H12" s="24"/>
      <c r="I12" s="24"/>
      <c r="J12" s="24"/>
      <c r="K12" s="24"/>
      <c r="L12" s="24"/>
      <c r="M12" s="24"/>
      <c r="N12" s="24"/>
      <c r="O12" s="24"/>
      <c r="P12" s="24"/>
      <c r="Q12" s="24"/>
      <c r="R12" s="24"/>
      <c r="S12" s="24"/>
    </row>
    <row r="13" spans="1:19" x14ac:dyDescent="0.25">
      <c r="A13" s="24"/>
      <c r="B13" s="24"/>
      <c r="C13" s="24"/>
      <c r="D13" s="24"/>
      <c r="E13" s="24"/>
      <c r="F13" s="24"/>
      <c r="G13" s="24"/>
      <c r="H13" s="24"/>
      <c r="I13" s="24"/>
      <c r="J13" s="24"/>
      <c r="K13" s="24"/>
      <c r="L13" s="24"/>
      <c r="M13" s="24"/>
      <c r="N13" s="24"/>
      <c r="O13" s="24"/>
      <c r="P13" s="24"/>
      <c r="Q13" s="24"/>
      <c r="R13" s="24"/>
      <c r="S13" s="24"/>
    </row>
    <row r="14" spans="1:19" x14ac:dyDescent="0.25">
      <c r="A14" s="24"/>
      <c r="B14" s="24"/>
      <c r="C14" s="24"/>
      <c r="D14" s="24"/>
      <c r="E14" s="24"/>
      <c r="F14" s="24"/>
      <c r="G14" s="24"/>
      <c r="H14" s="24"/>
      <c r="I14" s="24"/>
      <c r="J14" s="24"/>
      <c r="K14" s="24"/>
      <c r="L14" s="24"/>
      <c r="M14" s="24"/>
      <c r="N14" s="24"/>
      <c r="O14" s="24"/>
      <c r="P14" s="24"/>
      <c r="Q14" s="24"/>
      <c r="R14" s="24"/>
      <c r="S14" s="24"/>
    </row>
    <row r="15" spans="1:19" x14ac:dyDescent="0.25">
      <c r="A15" s="24"/>
      <c r="B15" s="24"/>
      <c r="C15" s="24"/>
      <c r="D15" s="24"/>
      <c r="E15" s="24"/>
      <c r="F15" s="24"/>
      <c r="G15" s="24"/>
      <c r="H15" s="24"/>
      <c r="I15" s="24"/>
      <c r="J15" s="24"/>
      <c r="K15" s="24"/>
      <c r="L15" s="24"/>
      <c r="M15" s="24"/>
      <c r="N15" s="24"/>
      <c r="O15" s="24"/>
      <c r="P15" s="24"/>
      <c r="Q15" s="24"/>
      <c r="R15" s="24"/>
      <c r="S15" s="24"/>
    </row>
    <row r="16" spans="1:19" x14ac:dyDescent="0.25">
      <c r="A16" s="24"/>
      <c r="B16" s="24"/>
      <c r="C16" s="24"/>
      <c r="D16" s="24"/>
      <c r="E16" s="24"/>
      <c r="F16" s="24"/>
      <c r="G16" s="24"/>
      <c r="H16" s="24"/>
      <c r="I16" s="24"/>
      <c r="J16" s="24"/>
      <c r="K16" s="24"/>
      <c r="L16" s="24"/>
      <c r="M16" s="24"/>
      <c r="N16" s="24"/>
      <c r="O16" s="24"/>
      <c r="P16" s="24"/>
      <c r="Q16" s="24"/>
      <c r="R16" s="24"/>
      <c r="S16" s="24"/>
    </row>
    <row r="17" spans="1:19" x14ac:dyDescent="0.25">
      <c r="A17" s="24"/>
      <c r="B17" s="24"/>
      <c r="C17" s="24"/>
      <c r="D17" s="24"/>
      <c r="E17" s="24"/>
      <c r="F17" s="24"/>
      <c r="G17" s="24"/>
      <c r="H17" s="24"/>
      <c r="I17" s="24"/>
      <c r="J17" s="24"/>
      <c r="K17" s="24"/>
      <c r="L17" s="24"/>
      <c r="M17" s="24"/>
      <c r="N17" s="24"/>
      <c r="O17" s="24"/>
      <c r="P17" s="24"/>
      <c r="Q17" s="24"/>
      <c r="R17" s="24"/>
      <c r="S17" s="24"/>
    </row>
    <row r="18" spans="1:19" x14ac:dyDescent="0.25">
      <c r="A18" s="24"/>
      <c r="B18" s="24"/>
      <c r="C18" s="24"/>
      <c r="D18" s="24"/>
      <c r="E18" s="24"/>
      <c r="F18" s="24"/>
      <c r="G18" s="24"/>
      <c r="H18" s="24"/>
      <c r="I18" s="24"/>
      <c r="J18" s="24"/>
      <c r="K18" s="24"/>
      <c r="L18" s="24"/>
      <c r="M18" s="24"/>
      <c r="N18" s="24"/>
      <c r="O18" s="24"/>
      <c r="P18" s="24"/>
      <c r="Q18" s="24"/>
      <c r="R18" s="24"/>
      <c r="S18" s="24"/>
    </row>
    <row r="19" spans="1:19" x14ac:dyDescent="0.25">
      <c r="A19" s="24"/>
      <c r="B19" s="24"/>
      <c r="C19" s="24"/>
      <c r="D19" s="24"/>
      <c r="E19" s="24"/>
      <c r="F19" s="24"/>
      <c r="G19" s="24"/>
      <c r="H19" s="24"/>
      <c r="I19" s="24"/>
      <c r="J19" s="24"/>
      <c r="K19" s="24"/>
      <c r="L19" s="24"/>
      <c r="M19" s="24"/>
      <c r="N19" s="24"/>
      <c r="O19" s="24"/>
      <c r="P19" s="24"/>
      <c r="Q19" s="24"/>
      <c r="R19" s="24"/>
      <c r="S19" s="24"/>
    </row>
    <row r="20" spans="1:19" x14ac:dyDescent="0.25">
      <c r="A20" s="24"/>
      <c r="B20" s="24"/>
      <c r="C20" s="24"/>
      <c r="D20" s="24"/>
      <c r="E20" s="24"/>
      <c r="F20" s="24"/>
      <c r="G20" s="24"/>
      <c r="H20" s="24"/>
      <c r="I20" s="24"/>
      <c r="J20" s="24"/>
      <c r="K20" s="24"/>
      <c r="L20" s="24"/>
      <c r="M20" s="24"/>
      <c r="N20" s="24"/>
      <c r="O20" s="24"/>
      <c r="P20" s="24"/>
      <c r="Q20" s="24"/>
      <c r="R20" s="24"/>
      <c r="S20" s="24"/>
    </row>
    <row r="21" spans="1:19" x14ac:dyDescent="0.25">
      <c r="A21" s="24"/>
      <c r="B21" s="24"/>
      <c r="C21" s="24"/>
      <c r="D21" s="24"/>
      <c r="E21" s="24"/>
      <c r="F21" s="24"/>
      <c r="G21" s="24"/>
      <c r="H21" s="24"/>
      <c r="I21" s="24"/>
      <c r="J21" s="24"/>
      <c r="K21" s="24"/>
      <c r="L21" s="24"/>
      <c r="M21" s="24"/>
      <c r="N21" s="24"/>
      <c r="O21" s="24"/>
      <c r="P21" s="24"/>
      <c r="Q21" s="24"/>
      <c r="R21" s="24"/>
      <c r="S21" s="24"/>
    </row>
    <row r="22" spans="1:19" x14ac:dyDescent="0.25">
      <c r="A22" s="24"/>
      <c r="B22" s="24"/>
      <c r="C22" s="24"/>
      <c r="D22" s="24"/>
      <c r="E22" s="24"/>
      <c r="F22" s="24"/>
      <c r="G22" s="24"/>
      <c r="H22" s="24"/>
      <c r="I22" s="24"/>
      <c r="J22" s="24"/>
      <c r="K22" s="24"/>
      <c r="L22" s="24"/>
      <c r="M22" s="24"/>
      <c r="N22" s="24"/>
      <c r="O22" s="24"/>
      <c r="P22" s="24"/>
      <c r="Q22" s="24"/>
      <c r="R22" s="24"/>
      <c r="S22" s="24"/>
    </row>
    <row r="23" spans="1:19" x14ac:dyDescent="0.25">
      <c r="A23" s="24"/>
      <c r="B23" s="24"/>
      <c r="C23" s="24"/>
      <c r="D23" s="24"/>
      <c r="E23" s="24"/>
      <c r="F23" s="24"/>
      <c r="G23" s="24"/>
      <c r="H23" s="24"/>
      <c r="I23" s="24"/>
      <c r="J23" s="24"/>
      <c r="K23" s="24"/>
      <c r="L23" s="24"/>
      <c r="M23" s="24"/>
      <c r="N23" s="24"/>
      <c r="O23" s="24"/>
      <c r="P23" s="24"/>
      <c r="Q23" s="24"/>
      <c r="R23" s="24"/>
      <c r="S23" s="24"/>
    </row>
    <row r="24" spans="1:19" x14ac:dyDescent="0.25">
      <c r="A24" s="24"/>
      <c r="B24" s="24"/>
      <c r="C24" s="24"/>
      <c r="D24" s="24"/>
      <c r="E24" s="24"/>
      <c r="F24" s="24"/>
      <c r="G24" s="24"/>
      <c r="H24" s="24"/>
      <c r="I24" s="24"/>
      <c r="J24" s="24"/>
      <c r="K24" s="24"/>
      <c r="L24" s="24"/>
      <c r="M24" s="24"/>
      <c r="N24" s="24"/>
      <c r="O24" s="24"/>
      <c r="P24" s="24"/>
      <c r="Q24" s="24"/>
      <c r="R24" s="24"/>
      <c r="S24" s="24"/>
    </row>
    <row r="25" spans="1:19" x14ac:dyDescent="0.25">
      <c r="A25" s="24"/>
      <c r="B25" s="24"/>
      <c r="C25" s="24"/>
      <c r="D25" s="24"/>
      <c r="E25" s="24"/>
      <c r="F25" s="24"/>
      <c r="G25" s="24"/>
      <c r="H25" s="24"/>
      <c r="I25" s="24"/>
      <c r="J25" s="24"/>
      <c r="K25" s="24"/>
      <c r="L25" s="24"/>
      <c r="M25" s="24"/>
      <c r="N25" s="24"/>
      <c r="O25" s="24"/>
      <c r="P25" s="24"/>
      <c r="Q25" s="24"/>
      <c r="R25" s="24"/>
      <c r="S25" s="24"/>
    </row>
    <row r="26" spans="1:19" x14ac:dyDescent="0.25">
      <c r="A26" s="24"/>
      <c r="B26" s="24"/>
      <c r="C26" s="24"/>
      <c r="D26" s="24"/>
      <c r="E26" s="24"/>
      <c r="F26" s="24"/>
      <c r="G26" s="24"/>
      <c r="H26" s="24"/>
      <c r="I26" s="24"/>
      <c r="J26" s="24"/>
      <c r="K26" s="24"/>
      <c r="L26" s="24"/>
      <c r="M26" s="24"/>
      <c r="N26" s="24"/>
      <c r="O26" s="24"/>
      <c r="P26" s="24"/>
      <c r="Q26" s="24"/>
      <c r="R26" s="24"/>
      <c r="S26" s="24"/>
    </row>
    <row r="27" spans="1:19" x14ac:dyDescent="0.25">
      <c r="A27" s="24"/>
      <c r="B27" s="24"/>
      <c r="C27" s="24"/>
      <c r="D27" s="24"/>
      <c r="E27" s="24"/>
      <c r="F27" s="24"/>
      <c r="G27" s="24"/>
      <c r="H27" s="24"/>
      <c r="I27" s="24"/>
      <c r="J27" s="24"/>
      <c r="K27" s="24"/>
      <c r="L27" s="24"/>
      <c r="M27" s="24"/>
      <c r="N27" s="24"/>
      <c r="O27" s="24"/>
      <c r="P27" s="24"/>
      <c r="Q27" s="24"/>
      <c r="R27" s="24"/>
      <c r="S27" s="24"/>
    </row>
    <row r="28" spans="1:19" x14ac:dyDescent="0.25">
      <c r="A28" s="24"/>
      <c r="B28" s="24"/>
      <c r="C28" s="24"/>
      <c r="D28" s="24"/>
      <c r="E28" s="24"/>
      <c r="F28" s="24"/>
      <c r="G28" s="24"/>
      <c r="H28" s="24"/>
      <c r="I28" s="24"/>
      <c r="J28" s="24"/>
      <c r="K28" s="24"/>
      <c r="L28" s="24"/>
      <c r="M28" s="24"/>
      <c r="N28" s="24"/>
      <c r="O28" s="24"/>
      <c r="P28" s="24"/>
      <c r="Q28" s="24"/>
      <c r="R28" s="24"/>
      <c r="S28" s="24"/>
    </row>
    <row r="29" spans="1:19" x14ac:dyDescent="0.25">
      <c r="A29" s="24"/>
      <c r="B29" s="24"/>
      <c r="C29" s="24"/>
      <c r="D29" s="24"/>
      <c r="E29" s="24"/>
      <c r="F29" s="24"/>
      <c r="G29" s="24"/>
      <c r="H29" s="24"/>
      <c r="I29" s="24"/>
      <c r="J29" s="24"/>
      <c r="K29" s="24"/>
      <c r="L29" s="24"/>
      <c r="M29" s="24"/>
      <c r="N29" s="24"/>
      <c r="O29" s="24"/>
      <c r="P29" s="24"/>
      <c r="Q29" s="24"/>
      <c r="R29" s="24"/>
      <c r="S29" s="24"/>
    </row>
    <row r="30" spans="1:19" x14ac:dyDescent="0.25">
      <c r="A30" s="24"/>
      <c r="B30" s="24"/>
      <c r="C30" s="24"/>
      <c r="D30" s="24"/>
      <c r="E30" s="24"/>
      <c r="F30" s="24"/>
      <c r="G30" s="24"/>
      <c r="H30" s="24"/>
      <c r="I30" s="24"/>
      <c r="J30" s="24"/>
      <c r="K30" s="24"/>
      <c r="L30" s="24"/>
      <c r="M30" s="24"/>
      <c r="N30" s="24"/>
      <c r="O30" s="24"/>
      <c r="P30" s="24"/>
      <c r="Q30" s="24"/>
      <c r="R30" s="24"/>
      <c r="S30" s="24"/>
    </row>
    <row r="31" spans="1:19" x14ac:dyDescent="0.25">
      <c r="A31" s="24"/>
      <c r="B31" s="24"/>
      <c r="C31" s="24"/>
      <c r="D31" s="24"/>
      <c r="E31" s="24"/>
      <c r="F31" s="24"/>
      <c r="G31" s="24"/>
      <c r="H31" s="24"/>
      <c r="I31" s="24"/>
      <c r="J31" s="24"/>
      <c r="K31" s="24"/>
      <c r="L31" s="24"/>
      <c r="M31" s="24"/>
      <c r="N31" s="24"/>
      <c r="O31" s="24"/>
      <c r="P31" s="24"/>
      <c r="Q31" s="24"/>
      <c r="R31" s="24"/>
      <c r="S31" s="24"/>
    </row>
    <row r="32" spans="1:19" x14ac:dyDescent="0.25">
      <c r="A32" s="24"/>
      <c r="B32" s="24"/>
      <c r="C32" s="24"/>
      <c r="D32" s="24"/>
      <c r="E32" s="24"/>
      <c r="F32" s="24"/>
      <c r="G32" s="24"/>
      <c r="H32" s="24"/>
      <c r="I32" s="24"/>
      <c r="J32" s="24"/>
      <c r="K32" s="24"/>
      <c r="L32" s="24"/>
      <c r="M32" s="24"/>
      <c r="N32" s="24"/>
      <c r="O32" s="24"/>
      <c r="P32" s="24"/>
      <c r="Q32" s="24"/>
      <c r="R32" s="24"/>
      <c r="S32" s="24"/>
    </row>
    <row r="33" spans="1:19" x14ac:dyDescent="0.25">
      <c r="A33" s="24"/>
      <c r="B33" s="24"/>
      <c r="C33" s="24"/>
      <c r="D33" s="24"/>
      <c r="E33" s="24"/>
      <c r="F33" s="24"/>
      <c r="G33" s="24"/>
      <c r="H33" s="24"/>
      <c r="I33" s="24"/>
      <c r="J33" s="24"/>
      <c r="K33" s="24"/>
      <c r="L33" s="24"/>
      <c r="M33" s="24"/>
      <c r="N33" s="24"/>
      <c r="O33" s="24"/>
      <c r="P33" s="24"/>
      <c r="Q33" s="24"/>
      <c r="R33" s="24"/>
      <c r="S33" s="24"/>
    </row>
    <row r="34" spans="1:19" x14ac:dyDescent="0.25">
      <c r="A34" s="24"/>
      <c r="B34" s="24"/>
      <c r="C34" s="24"/>
      <c r="D34" s="24"/>
      <c r="E34" s="24"/>
      <c r="F34" s="24"/>
      <c r="G34" s="24"/>
      <c r="H34" s="24"/>
      <c r="I34" s="24"/>
      <c r="J34" s="24"/>
      <c r="K34" s="24"/>
      <c r="L34" s="24"/>
      <c r="M34" s="24"/>
      <c r="N34" s="24"/>
      <c r="O34" s="24"/>
      <c r="P34" s="24"/>
      <c r="Q34" s="24"/>
      <c r="R34" s="24"/>
      <c r="S34" s="24"/>
    </row>
    <row r="35" spans="1:19" x14ac:dyDescent="0.25">
      <c r="A35" s="24"/>
      <c r="B35" s="24"/>
      <c r="C35" s="24"/>
      <c r="D35" s="24"/>
      <c r="E35" s="24"/>
      <c r="F35" s="24"/>
      <c r="G35" s="24"/>
      <c r="H35" s="24"/>
      <c r="I35" s="24"/>
      <c r="J35" s="24"/>
      <c r="K35" s="24"/>
      <c r="L35" s="24"/>
      <c r="M35" s="24"/>
      <c r="N35" s="24"/>
      <c r="O35" s="24"/>
      <c r="P35" s="24"/>
      <c r="Q35" s="24"/>
      <c r="R35" s="24"/>
      <c r="S35" s="24"/>
    </row>
    <row r="36" spans="1:19" x14ac:dyDescent="0.25">
      <c r="A36" s="24"/>
      <c r="B36" s="24"/>
      <c r="C36" s="24"/>
      <c r="D36" s="24"/>
      <c r="E36" s="24"/>
      <c r="F36" s="24"/>
      <c r="G36" s="24"/>
      <c r="H36" s="24"/>
      <c r="I36" s="24"/>
      <c r="J36" s="24"/>
      <c r="K36" s="24"/>
      <c r="L36" s="24"/>
      <c r="M36" s="24"/>
      <c r="N36" s="24"/>
      <c r="O36" s="24"/>
      <c r="P36" s="24"/>
      <c r="Q36" s="24"/>
      <c r="R36" s="24"/>
      <c r="S36" s="24"/>
    </row>
    <row r="37" spans="1:19" x14ac:dyDescent="0.25">
      <c r="A37" s="24"/>
      <c r="B37" s="24"/>
      <c r="C37" s="24"/>
      <c r="D37" s="24"/>
      <c r="E37" s="24"/>
      <c r="F37" s="24"/>
      <c r="G37" s="24"/>
      <c r="H37" s="24"/>
      <c r="I37" s="24"/>
      <c r="J37" s="24"/>
      <c r="K37" s="24"/>
      <c r="L37" s="24"/>
      <c r="M37" s="24"/>
      <c r="N37" s="24"/>
      <c r="O37" s="24"/>
      <c r="P37" s="24"/>
      <c r="Q37" s="24"/>
      <c r="R37" s="24"/>
      <c r="S37" s="24"/>
    </row>
    <row r="38" spans="1:19" x14ac:dyDescent="0.25">
      <c r="A38" s="24"/>
      <c r="B38" s="24"/>
      <c r="C38" s="24"/>
      <c r="D38" s="24"/>
      <c r="E38" s="24"/>
      <c r="F38" s="24"/>
      <c r="G38" s="24"/>
      <c r="H38" s="24"/>
      <c r="I38" s="24"/>
      <c r="J38" s="24"/>
      <c r="K38" s="24"/>
      <c r="L38" s="24"/>
      <c r="M38" s="24"/>
      <c r="N38" s="24"/>
      <c r="O38" s="24"/>
      <c r="P38" s="24"/>
      <c r="Q38" s="24"/>
      <c r="R38" s="24"/>
      <c r="S38" s="24"/>
    </row>
    <row r="39" spans="1:19" x14ac:dyDescent="0.25">
      <c r="A39" s="24"/>
      <c r="B39" s="24"/>
      <c r="C39" s="24"/>
      <c r="D39" s="24"/>
      <c r="E39" s="24"/>
      <c r="F39" s="24"/>
      <c r="G39" s="24"/>
      <c r="H39" s="24"/>
      <c r="I39" s="24"/>
      <c r="J39" s="24"/>
      <c r="K39" s="24"/>
      <c r="L39" s="24"/>
      <c r="M39" s="24"/>
      <c r="N39" s="24"/>
      <c r="O39" s="24"/>
      <c r="P39" s="24"/>
      <c r="Q39" s="24"/>
      <c r="R39" s="24"/>
      <c r="S39" s="24"/>
    </row>
    <row r="40" spans="1:19" x14ac:dyDescent="0.25">
      <c r="A40" s="24"/>
      <c r="B40" s="24"/>
      <c r="C40" s="24"/>
      <c r="D40" s="24"/>
      <c r="E40" s="24"/>
      <c r="F40" s="24"/>
      <c r="G40" s="24"/>
      <c r="H40" s="24"/>
      <c r="I40" s="24"/>
      <c r="J40" s="24"/>
      <c r="K40" s="24"/>
      <c r="L40" s="24"/>
      <c r="M40" s="24"/>
      <c r="N40" s="24"/>
      <c r="O40" s="24"/>
      <c r="P40" s="24"/>
      <c r="Q40" s="24"/>
      <c r="R40" s="24"/>
      <c r="S40" s="24"/>
    </row>
    <row r="41" spans="1:19" x14ac:dyDescent="0.25">
      <c r="A41" s="24"/>
      <c r="B41" s="24"/>
      <c r="C41" s="24"/>
      <c r="D41" s="24"/>
      <c r="E41" s="24"/>
      <c r="F41" s="24"/>
      <c r="G41" s="24"/>
      <c r="H41" s="24"/>
      <c r="I41" s="24"/>
      <c r="J41" s="24"/>
      <c r="K41" s="24"/>
      <c r="L41" s="24"/>
      <c r="M41" s="24"/>
      <c r="N41" s="24"/>
      <c r="O41" s="24"/>
      <c r="P41" s="24"/>
      <c r="Q41" s="24"/>
      <c r="R41" s="24"/>
      <c r="S41" s="24"/>
    </row>
    <row r="42" spans="1:19" x14ac:dyDescent="0.25">
      <c r="A42" s="24"/>
      <c r="B42" s="24"/>
      <c r="C42" s="24"/>
      <c r="D42" s="24"/>
      <c r="E42" s="24"/>
      <c r="F42" s="24"/>
      <c r="G42" s="24"/>
      <c r="H42" s="24"/>
      <c r="I42" s="24"/>
      <c r="J42" s="24"/>
      <c r="K42" s="24"/>
      <c r="L42" s="24"/>
      <c r="M42" s="24"/>
      <c r="N42" s="24"/>
      <c r="O42" s="24"/>
      <c r="P42" s="24"/>
      <c r="Q42" s="24"/>
      <c r="R42" s="24"/>
      <c r="S42" s="24"/>
    </row>
    <row r="43" spans="1:19" x14ac:dyDescent="0.25">
      <c r="A43" s="24"/>
      <c r="B43" s="24"/>
      <c r="C43" s="24"/>
      <c r="D43" s="24"/>
      <c r="E43" s="24"/>
      <c r="F43" s="24"/>
      <c r="G43" s="24"/>
      <c r="H43" s="24"/>
      <c r="I43" s="24"/>
      <c r="J43" s="24"/>
      <c r="K43" s="24"/>
      <c r="L43" s="24"/>
      <c r="M43" s="24"/>
      <c r="N43" s="24"/>
      <c r="O43" s="24"/>
      <c r="P43" s="24"/>
      <c r="Q43" s="24"/>
      <c r="R43" s="24"/>
      <c r="S43" s="24"/>
    </row>
    <row r="44" spans="1:19" x14ac:dyDescent="0.25">
      <c r="A44" s="24"/>
      <c r="B44" s="24"/>
      <c r="C44" s="24"/>
      <c r="D44" s="24"/>
      <c r="E44" s="24"/>
      <c r="F44" s="24"/>
      <c r="G44" s="24"/>
      <c r="H44" s="24"/>
      <c r="I44" s="24"/>
      <c r="J44" s="24"/>
      <c r="K44" s="24"/>
      <c r="L44" s="24"/>
      <c r="M44" s="24"/>
      <c r="N44" s="24"/>
      <c r="O44" s="24"/>
      <c r="P44" s="24"/>
      <c r="Q44" s="24"/>
      <c r="R44" s="24"/>
      <c r="S44" s="24"/>
    </row>
    <row r="45" spans="1:19" x14ac:dyDescent="0.25">
      <c r="A45" s="24"/>
      <c r="B45" s="24"/>
      <c r="C45" s="24"/>
      <c r="D45" s="24"/>
      <c r="E45" s="24"/>
      <c r="F45" s="24"/>
      <c r="G45" s="24"/>
      <c r="H45" s="24"/>
      <c r="I45" s="24"/>
      <c r="J45" s="24"/>
      <c r="K45" s="24"/>
      <c r="L45" s="24"/>
      <c r="M45" s="24"/>
      <c r="N45" s="24"/>
      <c r="O45" s="24"/>
      <c r="P45" s="24"/>
      <c r="Q45" s="24"/>
      <c r="R45" s="24"/>
      <c r="S45" s="24"/>
    </row>
    <row r="46" spans="1:19" x14ac:dyDescent="0.25">
      <c r="A46" s="24"/>
      <c r="B46" s="24"/>
      <c r="C46" s="24"/>
      <c r="D46" s="24"/>
      <c r="E46" s="24"/>
      <c r="F46" s="24"/>
      <c r="G46" s="24"/>
      <c r="H46" s="24"/>
      <c r="I46" s="24"/>
      <c r="J46" s="24"/>
      <c r="K46" s="24"/>
      <c r="L46" s="24"/>
      <c r="M46" s="24"/>
      <c r="N46" s="24"/>
      <c r="O46" s="24"/>
      <c r="P46" s="24"/>
      <c r="Q46" s="24"/>
      <c r="R46" s="24"/>
      <c r="S46" s="24"/>
    </row>
    <row r="47" spans="1:19" x14ac:dyDescent="0.25">
      <c r="A47" s="24"/>
      <c r="B47" s="24"/>
      <c r="C47" s="24"/>
      <c r="D47" s="24"/>
      <c r="E47" s="24"/>
      <c r="F47" s="24"/>
      <c r="G47" s="24"/>
      <c r="H47" s="24"/>
      <c r="I47" s="24"/>
      <c r="J47" s="24"/>
      <c r="K47" s="24"/>
      <c r="L47" s="24"/>
      <c r="M47" s="24"/>
      <c r="N47" s="24"/>
      <c r="O47" s="24"/>
      <c r="P47" s="24"/>
      <c r="Q47" s="24"/>
      <c r="R47" s="24"/>
      <c r="S47" s="24"/>
    </row>
    <row r="48" spans="1:19" x14ac:dyDescent="0.25">
      <c r="A48" s="24"/>
      <c r="B48" s="24"/>
      <c r="C48" s="24"/>
      <c r="D48" s="24"/>
      <c r="E48" s="24"/>
      <c r="F48" s="24"/>
      <c r="G48" s="24"/>
      <c r="H48" s="24"/>
      <c r="I48" s="24"/>
      <c r="J48" s="24"/>
      <c r="K48" s="24"/>
      <c r="L48" s="24"/>
      <c r="M48" s="24"/>
      <c r="N48" s="24"/>
      <c r="O48" s="24"/>
      <c r="P48" s="24"/>
      <c r="Q48" s="24"/>
      <c r="R48" s="24"/>
      <c r="S48" s="24"/>
    </row>
    <row r="49" spans="1:19" x14ac:dyDescent="0.25">
      <c r="A49" s="24"/>
      <c r="B49" s="24"/>
      <c r="C49" s="24"/>
      <c r="D49" s="24"/>
      <c r="E49" s="24"/>
      <c r="F49" s="24"/>
      <c r="G49" s="24"/>
      <c r="H49" s="24"/>
      <c r="I49" s="24"/>
      <c r="J49" s="24"/>
      <c r="K49" s="24"/>
      <c r="L49" s="24"/>
      <c r="M49" s="24"/>
      <c r="N49" s="24"/>
      <c r="O49" s="24"/>
      <c r="P49" s="24"/>
      <c r="Q49" s="24"/>
      <c r="R49" s="24"/>
      <c r="S49" s="24"/>
    </row>
    <row r="50" spans="1:19" x14ac:dyDescent="0.25">
      <c r="A50" s="24"/>
      <c r="B50" s="24"/>
      <c r="C50" s="24"/>
      <c r="D50" s="24"/>
      <c r="E50" s="24"/>
      <c r="F50" s="24"/>
      <c r="G50" s="24"/>
      <c r="H50" s="24"/>
      <c r="I50" s="24"/>
      <c r="J50" s="24"/>
      <c r="K50" s="24"/>
      <c r="L50" s="24"/>
      <c r="M50" s="24"/>
      <c r="N50" s="24"/>
      <c r="O50" s="24"/>
      <c r="P50" s="24"/>
      <c r="Q50" s="24"/>
      <c r="R50" s="24"/>
      <c r="S50" s="24"/>
    </row>
    <row r="51" spans="1:19" x14ac:dyDescent="0.25">
      <c r="A51" s="24"/>
      <c r="B51" s="24"/>
      <c r="C51" s="24"/>
      <c r="D51" s="24"/>
      <c r="E51" s="24"/>
      <c r="F51" s="24"/>
      <c r="G51" s="24"/>
      <c r="H51" s="24"/>
      <c r="I51" s="24"/>
      <c r="J51" s="24"/>
      <c r="K51" s="24"/>
      <c r="L51" s="24"/>
      <c r="M51" s="24"/>
      <c r="N51" s="24"/>
      <c r="O51" s="24"/>
      <c r="P51" s="24"/>
      <c r="Q51" s="24"/>
      <c r="R51" s="24"/>
      <c r="S51" s="24"/>
    </row>
    <row r="52" spans="1:19" x14ac:dyDescent="0.25">
      <c r="A52" s="24"/>
      <c r="B52" s="24"/>
      <c r="C52" s="24"/>
      <c r="D52" s="24"/>
      <c r="E52" s="24"/>
      <c r="F52" s="24"/>
      <c r="G52" s="24"/>
      <c r="H52" s="24"/>
      <c r="I52" s="24"/>
      <c r="J52" s="24"/>
      <c r="K52" s="24"/>
      <c r="L52" s="24"/>
      <c r="M52" s="24"/>
      <c r="N52" s="24"/>
      <c r="O52" s="24"/>
      <c r="P52" s="24"/>
      <c r="Q52" s="24"/>
      <c r="R52" s="24"/>
      <c r="S52" s="24"/>
    </row>
    <row r="53" spans="1:19" x14ac:dyDescent="0.25">
      <c r="A53" s="24"/>
      <c r="B53" s="24"/>
      <c r="C53" s="24"/>
      <c r="D53" s="24"/>
      <c r="E53" s="24"/>
      <c r="F53" s="24"/>
      <c r="G53" s="24"/>
      <c r="H53" s="24"/>
      <c r="I53" s="24"/>
      <c r="J53" s="24"/>
      <c r="K53" s="24"/>
      <c r="L53" s="24"/>
      <c r="M53" s="24"/>
      <c r="N53" s="24"/>
      <c r="O53" s="24"/>
      <c r="P53" s="24"/>
      <c r="Q53" s="24"/>
      <c r="R53" s="24"/>
      <c r="S53" s="24"/>
    </row>
    <row r="54" spans="1:19" x14ac:dyDescent="0.25">
      <c r="A54" s="24"/>
      <c r="B54" s="24"/>
      <c r="C54" s="24"/>
      <c r="D54" s="24"/>
      <c r="E54" s="24"/>
      <c r="F54" s="24"/>
      <c r="G54" s="24"/>
      <c r="H54" s="24"/>
      <c r="I54" s="24"/>
      <c r="J54" s="24"/>
      <c r="K54" s="24"/>
      <c r="L54" s="24"/>
      <c r="M54" s="24"/>
      <c r="N54" s="24"/>
      <c r="O54" s="24"/>
      <c r="P54" s="24"/>
      <c r="Q54" s="24"/>
      <c r="R54" s="24"/>
      <c r="S54" s="24"/>
    </row>
    <row r="55" spans="1:19" x14ac:dyDescent="0.25">
      <c r="A55" s="24"/>
      <c r="B55" s="24"/>
      <c r="C55" s="24"/>
      <c r="D55" s="24"/>
      <c r="E55" s="24"/>
      <c r="F55" s="24"/>
      <c r="G55" s="24"/>
      <c r="H55" s="24"/>
      <c r="I55" s="24"/>
      <c r="J55" s="24"/>
      <c r="K55" s="24"/>
      <c r="L55" s="24"/>
      <c r="M55" s="24"/>
      <c r="N55" s="24"/>
      <c r="O55" s="24"/>
      <c r="P55" s="24"/>
      <c r="Q55" s="24"/>
      <c r="R55" s="24"/>
      <c r="S55" s="24"/>
    </row>
    <row r="56" spans="1:19" x14ac:dyDescent="0.25">
      <c r="A56" s="24"/>
      <c r="B56" s="24"/>
      <c r="C56" s="24"/>
      <c r="D56" s="24"/>
      <c r="E56" s="24"/>
      <c r="F56" s="24"/>
      <c r="G56" s="24"/>
      <c r="H56" s="24"/>
      <c r="I56" s="24"/>
      <c r="J56" s="24"/>
      <c r="K56" s="24"/>
      <c r="L56" s="24"/>
      <c r="M56" s="24"/>
      <c r="N56" s="24"/>
      <c r="O56" s="24"/>
      <c r="P56" s="24"/>
      <c r="Q56" s="24"/>
      <c r="R56" s="24"/>
      <c r="S56" s="24"/>
    </row>
    <row r="57" spans="1:19" x14ac:dyDescent="0.25">
      <c r="A57" s="24"/>
      <c r="B57" s="24"/>
      <c r="C57" s="24"/>
      <c r="D57" s="24"/>
      <c r="E57" s="24"/>
      <c r="F57" s="24"/>
      <c r="G57" s="24"/>
      <c r="H57" s="24"/>
      <c r="I57" s="24"/>
      <c r="J57" s="24"/>
      <c r="K57" s="24"/>
      <c r="L57" s="24"/>
      <c r="M57" s="24"/>
      <c r="N57" s="24"/>
      <c r="O57" s="24"/>
      <c r="P57" s="24"/>
      <c r="Q57" s="24"/>
      <c r="R57" s="24"/>
      <c r="S57" s="24"/>
    </row>
    <row r="58" spans="1:19" x14ac:dyDescent="0.25">
      <c r="A58" s="24"/>
      <c r="B58" s="24"/>
      <c r="C58" s="24"/>
      <c r="D58" s="24"/>
      <c r="E58" s="24"/>
      <c r="F58" s="24"/>
      <c r="G58" s="24"/>
      <c r="H58" s="24"/>
      <c r="I58" s="24"/>
      <c r="J58" s="24"/>
      <c r="K58" s="24"/>
      <c r="L58" s="24"/>
      <c r="M58" s="24"/>
      <c r="N58" s="24"/>
      <c r="O58" s="24"/>
      <c r="P58" s="24"/>
      <c r="Q58" s="24"/>
      <c r="R58" s="24"/>
      <c r="S58" s="24"/>
    </row>
    <row r="59" spans="1:19" x14ac:dyDescent="0.25">
      <c r="A59" s="24"/>
      <c r="B59" s="24"/>
      <c r="C59" s="24"/>
      <c r="D59" s="24"/>
      <c r="E59" s="24"/>
      <c r="F59" s="24"/>
      <c r="G59" s="24"/>
      <c r="H59" s="24"/>
      <c r="I59" s="24"/>
      <c r="J59" s="24"/>
      <c r="K59" s="24"/>
      <c r="L59" s="24"/>
      <c r="M59" s="24"/>
      <c r="N59" s="24"/>
      <c r="O59" s="24"/>
      <c r="P59" s="24"/>
      <c r="Q59" s="24"/>
      <c r="R59" s="24"/>
      <c r="S59" s="24"/>
    </row>
    <row r="60" spans="1:19" x14ac:dyDescent="0.25">
      <c r="A60" s="24"/>
      <c r="B60" s="24"/>
      <c r="C60" s="24"/>
      <c r="D60" s="24"/>
      <c r="E60" s="24"/>
      <c r="F60" s="24"/>
      <c r="G60" s="24"/>
      <c r="H60" s="24"/>
      <c r="I60" s="24"/>
      <c r="J60" s="24"/>
      <c r="K60" s="24"/>
      <c r="L60" s="24"/>
      <c r="M60" s="24"/>
      <c r="N60" s="24"/>
      <c r="O60" s="24"/>
      <c r="P60" s="24"/>
      <c r="Q60" s="24"/>
      <c r="R60" s="24"/>
      <c r="S60" s="24"/>
    </row>
    <row r="61" spans="1:19" x14ac:dyDescent="0.25">
      <c r="A61" s="24"/>
      <c r="B61" s="24"/>
      <c r="C61" s="24"/>
      <c r="D61" s="24"/>
      <c r="E61" s="24"/>
      <c r="F61" s="24"/>
      <c r="G61" s="24"/>
      <c r="H61" s="24"/>
      <c r="I61" s="24"/>
      <c r="J61" s="24"/>
      <c r="K61" s="24"/>
      <c r="L61" s="24"/>
      <c r="M61" s="24"/>
      <c r="N61" s="24"/>
      <c r="O61" s="24"/>
      <c r="P61" s="24"/>
      <c r="Q61" s="24"/>
      <c r="R61" s="24"/>
      <c r="S61" s="24"/>
    </row>
    <row r="62" spans="1:19" x14ac:dyDescent="0.25">
      <c r="A62" s="24"/>
      <c r="B62" s="24"/>
      <c r="C62" s="24"/>
      <c r="D62" s="24"/>
      <c r="E62" s="24"/>
      <c r="F62" s="24"/>
      <c r="G62" s="24"/>
      <c r="H62" s="24"/>
      <c r="I62" s="24"/>
      <c r="J62" s="24"/>
      <c r="K62" s="24"/>
      <c r="L62" s="24"/>
      <c r="M62" s="24"/>
      <c r="N62" s="24"/>
      <c r="O62" s="24"/>
      <c r="P62" s="24"/>
      <c r="Q62" s="24"/>
      <c r="R62" s="24"/>
      <c r="S62" s="24"/>
    </row>
    <row r="63" spans="1:19" x14ac:dyDescent="0.25">
      <c r="A63" s="24"/>
      <c r="B63" s="24"/>
      <c r="C63" s="24"/>
      <c r="D63" s="24"/>
      <c r="E63" s="24"/>
      <c r="F63" s="24"/>
      <c r="G63" s="24"/>
      <c r="H63" s="24"/>
      <c r="I63" s="24"/>
      <c r="J63" s="24"/>
      <c r="K63" s="24"/>
      <c r="L63" s="24"/>
      <c r="M63" s="24"/>
      <c r="N63" s="24"/>
      <c r="O63" s="24"/>
      <c r="P63" s="24"/>
      <c r="Q63" s="24"/>
      <c r="R63" s="24"/>
      <c r="S63" s="24"/>
    </row>
    <row r="64" spans="1:19" x14ac:dyDescent="0.25">
      <c r="A64" s="24"/>
      <c r="B64" s="24"/>
      <c r="C64" s="24"/>
      <c r="D64" s="24"/>
      <c r="E64" s="24"/>
      <c r="F64" s="24"/>
      <c r="G64" s="24"/>
      <c r="H64" s="24"/>
      <c r="I64" s="24"/>
      <c r="J64" s="24"/>
      <c r="K64" s="24"/>
      <c r="L64" s="24"/>
      <c r="M64" s="24"/>
      <c r="N64" s="24"/>
      <c r="O64" s="24"/>
      <c r="P64" s="24"/>
      <c r="Q64" s="24"/>
      <c r="R64" s="24"/>
      <c r="S64" s="24"/>
    </row>
    <row r="65" spans="1:19" x14ac:dyDescent="0.25">
      <c r="A65" s="24"/>
      <c r="B65" s="24"/>
      <c r="C65" s="24"/>
      <c r="D65" s="24"/>
      <c r="E65" s="24"/>
      <c r="F65" s="24"/>
      <c r="G65" s="24"/>
      <c r="H65" s="24"/>
      <c r="I65" s="24"/>
      <c r="J65" s="24"/>
      <c r="K65" s="24"/>
      <c r="L65" s="24"/>
      <c r="M65" s="24"/>
      <c r="N65" s="24"/>
      <c r="O65" s="24"/>
      <c r="P65" s="24"/>
      <c r="Q65" s="24"/>
      <c r="R65" s="24"/>
      <c r="S65" s="24"/>
    </row>
    <row r="66" spans="1:19" x14ac:dyDescent="0.25">
      <c r="A66" s="24"/>
      <c r="B66" s="24"/>
      <c r="C66" s="24"/>
      <c r="D66" s="24"/>
      <c r="E66" s="24"/>
      <c r="F66" s="24"/>
      <c r="G66" s="24"/>
      <c r="H66" s="24"/>
      <c r="I66" s="24"/>
      <c r="J66" s="24"/>
      <c r="K66" s="24"/>
      <c r="L66" s="24"/>
      <c r="M66" s="24"/>
      <c r="N66" s="24"/>
      <c r="O66" s="24"/>
      <c r="P66" s="24"/>
      <c r="Q66" s="24"/>
      <c r="R66" s="24"/>
      <c r="S66" s="24"/>
    </row>
    <row r="67" spans="1:19" x14ac:dyDescent="0.25">
      <c r="A67" s="27"/>
      <c r="B67" s="27"/>
      <c r="C67" s="27"/>
      <c r="D67" s="27"/>
      <c r="E67" s="27"/>
      <c r="F67" s="27"/>
      <c r="G67" s="27"/>
      <c r="H67" s="27"/>
      <c r="I67" s="27"/>
      <c r="J67" s="27"/>
      <c r="K67" s="27"/>
      <c r="L67" s="27"/>
      <c r="M67" s="27"/>
      <c r="N67" s="27"/>
      <c r="O67" s="27"/>
      <c r="P67" s="27"/>
      <c r="Q67" s="27"/>
      <c r="R67" s="27"/>
      <c r="S67" s="27"/>
    </row>
    <row r="68" spans="1:19" x14ac:dyDescent="0.25">
      <c r="A68" s="27"/>
      <c r="B68" s="27"/>
      <c r="C68" s="27"/>
      <c r="D68" s="27"/>
      <c r="E68" s="27"/>
      <c r="F68" s="27"/>
      <c r="G68" s="27"/>
      <c r="H68" s="27"/>
      <c r="I68" s="27"/>
      <c r="J68" s="27"/>
      <c r="K68" s="27"/>
      <c r="L68" s="27"/>
      <c r="M68" s="27"/>
      <c r="N68" s="27"/>
      <c r="O68" s="27"/>
      <c r="P68" s="27"/>
      <c r="Q68" s="27"/>
      <c r="R68" s="27"/>
      <c r="S68" s="27"/>
    </row>
    <row r="69" spans="1:19" x14ac:dyDescent="0.25">
      <c r="A69" s="27"/>
      <c r="B69" s="27"/>
      <c r="C69" s="27"/>
      <c r="D69" s="27"/>
      <c r="E69" s="27"/>
      <c r="F69" s="27"/>
      <c r="G69" s="27"/>
      <c r="H69" s="27"/>
      <c r="I69" s="27"/>
      <c r="J69" s="27"/>
      <c r="K69" s="27"/>
      <c r="L69" s="27"/>
      <c r="M69" s="27"/>
      <c r="N69" s="27"/>
      <c r="O69" s="27"/>
      <c r="P69" s="27"/>
      <c r="Q69" s="27"/>
      <c r="R69" s="27"/>
      <c r="S69" s="27"/>
    </row>
    <row r="70" spans="1:19" x14ac:dyDescent="0.25">
      <c r="A70" s="27"/>
      <c r="B70" s="27"/>
      <c r="C70" s="27"/>
      <c r="D70" s="27"/>
      <c r="E70" s="27"/>
      <c r="F70" s="27"/>
      <c r="G70" s="27"/>
      <c r="H70" s="27"/>
      <c r="I70" s="27"/>
      <c r="J70" s="27"/>
      <c r="K70" s="27"/>
      <c r="L70" s="27"/>
      <c r="M70" s="27"/>
      <c r="N70" s="27"/>
      <c r="O70" s="27"/>
      <c r="P70" s="27"/>
      <c r="Q70" s="27"/>
      <c r="R70" s="27"/>
      <c r="S70" s="27"/>
    </row>
    <row r="71" spans="1:19" x14ac:dyDescent="0.25">
      <c r="A71" s="27"/>
      <c r="B71" s="27"/>
      <c r="C71" s="27"/>
      <c r="D71" s="27"/>
      <c r="E71" s="27"/>
      <c r="F71" s="27"/>
      <c r="G71" s="27"/>
      <c r="H71" s="27"/>
      <c r="I71" s="27"/>
      <c r="J71" s="27"/>
      <c r="K71" s="27"/>
      <c r="L71" s="27"/>
      <c r="M71" s="27"/>
      <c r="N71" s="27"/>
      <c r="O71" s="27"/>
      <c r="P71" s="27"/>
      <c r="Q71" s="27"/>
      <c r="R71" s="27"/>
      <c r="S71" s="27"/>
    </row>
    <row r="72" spans="1:19" x14ac:dyDescent="0.25">
      <c r="A72" s="27"/>
      <c r="B72" s="27"/>
      <c r="C72" s="27"/>
      <c r="D72" s="27"/>
      <c r="E72" s="27"/>
      <c r="F72" s="27"/>
      <c r="G72" s="27"/>
      <c r="H72" s="27"/>
      <c r="I72" s="27"/>
      <c r="J72" s="27"/>
      <c r="K72" s="27"/>
      <c r="L72" s="27"/>
      <c r="M72" s="27"/>
      <c r="N72" s="27"/>
      <c r="O72" s="27"/>
      <c r="P72" s="27"/>
      <c r="Q72" s="27"/>
      <c r="R72" s="27"/>
      <c r="S72" s="27"/>
    </row>
    <row r="73" spans="1:19" x14ac:dyDescent="0.25">
      <c r="A73" s="27"/>
      <c r="B73" s="27"/>
      <c r="C73" s="27"/>
      <c r="D73" s="27"/>
      <c r="E73" s="27"/>
      <c r="F73" s="27"/>
      <c r="G73" s="27"/>
      <c r="H73" s="27"/>
      <c r="I73" s="27"/>
      <c r="J73" s="27"/>
      <c r="K73" s="27"/>
      <c r="L73" s="27"/>
      <c r="M73" s="27"/>
      <c r="N73" s="27"/>
      <c r="O73" s="27"/>
      <c r="P73" s="27"/>
      <c r="Q73" s="27"/>
      <c r="R73" s="27"/>
      <c r="S73" s="27"/>
    </row>
    <row r="74" spans="1:19" x14ac:dyDescent="0.25">
      <c r="A74" s="27"/>
      <c r="B74" s="27"/>
      <c r="C74" s="27"/>
      <c r="D74" s="27"/>
      <c r="E74" s="27"/>
      <c r="F74" s="27"/>
      <c r="G74" s="27"/>
      <c r="H74" s="27"/>
      <c r="I74" s="27"/>
      <c r="J74" s="27"/>
      <c r="K74" s="27"/>
      <c r="L74" s="27"/>
      <c r="M74" s="27"/>
      <c r="N74" s="27"/>
      <c r="O74" s="27"/>
      <c r="P74" s="27"/>
      <c r="Q74" s="27"/>
      <c r="R74" s="27"/>
      <c r="S74" s="27"/>
    </row>
    <row r="75" spans="1:19" x14ac:dyDescent="0.25">
      <c r="A75" s="27"/>
      <c r="B75" s="27"/>
      <c r="C75" s="27"/>
      <c r="D75" s="27"/>
      <c r="E75" s="27"/>
      <c r="F75" s="27"/>
      <c r="G75" s="27"/>
      <c r="H75" s="27"/>
      <c r="I75" s="27"/>
      <c r="J75" s="27"/>
      <c r="K75" s="27"/>
      <c r="L75" s="27"/>
      <c r="M75" s="27"/>
      <c r="N75" s="27"/>
      <c r="O75" s="27"/>
      <c r="P75" s="27"/>
      <c r="Q75" s="27"/>
      <c r="R75" s="27"/>
      <c r="S75" s="27"/>
    </row>
    <row r="76" spans="1:19" x14ac:dyDescent="0.25">
      <c r="A76" s="27"/>
      <c r="B76" s="27"/>
      <c r="C76" s="27"/>
      <c r="D76" s="27"/>
      <c r="E76" s="27"/>
      <c r="F76" s="27"/>
      <c r="G76" s="27"/>
      <c r="H76" s="27"/>
      <c r="I76" s="27"/>
      <c r="J76" s="27"/>
      <c r="K76" s="27"/>
      <c r="L76" s="27"/>
      <c r="M76" s="27"/>
      <c r="N76" s="27"/>
      <c r="O76" s="27"/>
      <c r="P76" s="27"/>
      <c r="Q76" s="27"/>
      <c r="R76" s="27"/>
      <c r="S76" s="27"/>
    </row>
    <row r="77" spans="1:19" x14ac:dyDescent="0.25">
      <c r="A77" s="27"/>
      <c r="B77" s="27"/>
      <c r="C77" s="27"/>
      <c r="D77" s="27"/>
      <c r="E77" s="27"/>
      <c r="F77" s="27"/>
      <c r="G77" s="27"/>
      <c r="H77" s="27"/>
      <c r="I77" s="27"/>
      <c r="J77" s="27"/>
      <c r="K77" s="27"/>
      <c r="L77" s="27"/>
      <c r="M77" s="27"/>
      <c r="N77" s="27"/>
      <c r="O77" s="27"/>
      <c r="P77" s="27"/>
      <c r="Q77" s="27"/>
      <c r="R77" s="27"/>
      <c r="S77" s="27"/>
    </row>
    <row r="78" spans="1:19" x14ac:dyDescent="0.25">
      <c r="A78" s="27"/>
      <c r="B78" s="27"/>
      <c r="C78" s="27"/>
      <c r="D78" s="27"/>
      <c r="E78" s="27"/>
      <c r="F78" s="27"/>
      <c r="G78" s="27"/>
      <c r="H78" s="27"/>
      <c r="I78" s="27"/>
      <c r="J78" s="27"/>
      <c r="K78" s="27"/>
      <c r="L78" s="27"/>
      <c r="M78" s="27"/>
      <c r="N78" s="27"/>
      <c r="O78" s="27"/>
      <c r="P78" s="27"/>
      <c r="Q78" s="27"/>
      <c r="R78" s="27"/>
      <c r="S78" s="27"/>
    </row>
    <row r="79" spans="1:19" x14ac:dyDescent="0.25">
      <c r="A79" s="27"/>
      <c r="B79" s="27"/>
      <c r="C79" s="27"/>
      <c r="D79" s="27"/>
      <c r="E79" s="27"/>
      <c r="F79" s="27"/>
      <c r="G79" s="27"/>
      <c r="H79" s="27"/>
      <c r="I79" s="27"/>
      <c r="J79" s="27"/>
      <c r="K79" s="27"/>
      <c r="L79" s="27"/>
      <c r="M79" s="27"/>
      <c r="N79" s="27"/>
      <c r="O79" s="27"/>
      <c r="P79" s="27"/>
      <c r="Q79" s="27"/>
      <c r="R79" s="27"/>
      <c r="S79" s="27"/>
    </row>
    <row r="80" spans="1:19" x14ac:dyDescent="0.25">
      <c r="A80" s="27"/>
      <c r="B80" s="27"/>
      <c r="C80" s="27"/>
      <c r="D80" s="27"/>
      <c r="E80" s="27"/>
      <c r="F80" s="27"/>
      <c r="G80" s="27"/>
      <c r="H80" s="27"/>
      <c r="I80" s="27"/>
      <c r="J80" s="27"/>
      <c r="K80" s="27"/>
      <c r="L80" s="27"/>
      <c r="M80" s="27"/>
      <c r="N80" s="27"/>
      <c r="O80" s="27"/>
      <c r="P80" s="27"/>
      <c r="Q80" s="27"/>
      <c r="R80" s="27"/>
      <c r="S80" s="27"/>
    </row>
    <row r="81" spans="1:19" x14ac:dyDescent="0.25">
      <c r="A81" s="27"/>
      <c r="B81" s="27"/>
      <c r="C81" s="27"/>
      <c r="D81" s="27"/>
      <c r="E81" s="27"/>
      <c r="F81" s="27"/>
      <c r="G81" s="27"/>
      <c r="H81" s="27"/>
      <c r="I81" s="27"/>
      <c r="J81" s="27"/>
      <c r="K81" s="27"/>
      <c r="L81" s="27"/>
      <c r="M81" s="27"/>
      <c r="N81" s="27"/>
      <c r="O81" s="27"/>
      <c r="P81" s="27"/>
      <c r="Q81" s="27"/>
      <c r="R81" s="27"/>
      <c r="S81" s="27"/>
    </row>
    <row r="82" spans="1:19" x14ac:dyDescent="0.25">
      <c r="A82" s="27"/>
      <c r="B82" s="27"/>
      <c r="C82" s="27"/>
      <c r="D82" s="27"/>
      <c r="E82" s="27"/>
      <c r="F82" s="27"/>
      <c r="G82" s="27"/>
      <c r="H82" s="27"/>
      <c r="I82" s="27"/>
      <c r="J82" s="27"/>
      <c r="K82" s="27"/>
      <c r="L82" s="27"/>
      <c r="M82" s="27"/>
      <c r="N82" s="27"/>
      <c r="O82" s="27"/>
      <c r="P82" s="27"/>
      <c r="Q82" s="27"/>
      <c r="R82" s="27"/>
      <c r="S82" s="27"/>
    </row>
    <row r="83" spans="1:19" x14ac:dyDescent="0.25">
      <c r="A83" s="27"/>
      <c r="B83" s="27"/>
      <c r="C83" s="27"/>
      <c r="D83" s="27"/>
      <c r="E83" s="27"/>
      <c r="F83" s="27"/>
      <c r="G83" s="27"/>
      <c r="H83" s="27"/>
      <c r="I83" s="27"/>
      <c r="J83" s="27"/>
      <c r="K83" s="27"/>
      <c r="L83" s="27"/>
      <c r="M83" s="27"/>
      <c r="N83" s="27"/>
      <c r="O83" s="27"/>
      <c r="P83" s="27"/>
      <c r="Q83" s="27"/>
      <c r="R83" s="27"/>
      <c r="S83" s="27"/>
    </row>
    <row r="84" spans="1:19" x14ac:dyDescent="0.25">
      <c r="A84" s="27"/>
      <c r="B84" s="27"/>
      <c r="C84" s="27"/>
      <c r="D84" s="27"/>
      <c r="E84" s="27"/>
      <c r="F84" s="27"/>
      <c r="G84" s="27"/>
      <c r="H84" s="27"/>
      <c r="I84" s="27"/>
      <c r="J84" s="27"/>
      <c r="K84" s="27"/>
      <c r="L84" s="27"/>
      <c r="M84" s="27"/>
      <c r="N84" s="27"/>
      <c r="O84" s="27"/>
      <c r="P84" s="27"/>
      <c r="Q84" s="27"/>
      <c r="R84" s="27"/>
      <c r="S84" s="27"/>
    </row>
    <row r="85" spans="1:19" x14ac:dyDescent="0.25">
      <c r="A85" s="27"/>
      <c r="B85" s="27"/>
      <c r="C85" s="27"/>
      <c r="D85" s="27"/>
      <c r="E85" s="27"/>
      <c r="F85" s="27"/>
      <c r="G85" s="27"/>
      <c r="H85" s="27"/>
      <c r="I85" s="27"/>
      <c r="J85" s="27"/>
      <c r="K85" s="27"/>
      <c r="L85" s="27"/>
      <c r="M85" s="27"/>
      <c r="N85" s="27"/>
      <c r="O85" s="27"/>
      <c r="P85" s="27"/>
      <c r="Q85" s="27"/>
      <c r="R85" s="27"/>
      <c r="S85" s="27"/>
    </row>
    <row r="86" spans="1:19" x14ac:dyDescent="0.25">
      <c r="A86" s="27"/>
      <c r="B86" s="27"/>
      <c r="C86" s="27"/>
      <c r="D86" s="27"/>
      <c r="E86" s="27"/>
      <c r="F86" s="27"/>
      <c r="G86" s="27"/>
      <c r="H86" s="27"/>
      <c r="I86" s="27"/>
      <c r="J86" s="27"/>
      <c r="K86" s="27"/>
      <c r="L86" s="27"/>
      <c r="M86" s="27"/>
      <c r="N86" s="27"/>
      <c r="O86" s="27"/>
      <c r="P86" s="27"/>
      <c r="Q86" s="27"/>
      <c r="R86" s="27"/>
      <c r="S86" s="27"/>
    </row>
    <row r="87" spans="1:19" x14ac:dyDescent="0.25">
      <c r="A87" s="27"/>
      <c r="B87" s="27"/>
      <c r="C87" s="27"/>
      <c r="D87" s="27"/>
      <c r="E87" s="27"/>
      <c r="F87" s="27"/>
      <c r="G87" s="27"/>
      <c r="H87" s="27"/>
      <c r="I87" s="27"/>
      <c r="J87" s="27"/>
      <c r="K87" s="27"/>
      <c r="L87" s="27"/>
      <c r="M87" s="27"/>
      <c r="N87" s="27"/>
      <c r="O87" s="27"/>
      <c r="P87" s="27"/>
      <c r="Q87" s="27"/>
      <c r="R87" s="27"/>
      <c r="S87" s="27"/>
    </row>
    <row r="88" spans="1:19" x14ac:dyDescent="0.25">
      <c r="A88" s="27"/>
      <c r="B88" s="27"/>
      <c r="C88" s="27"/>
      <c r="D88" s="27"/>
      <c r="E88" s="27"/>
      <c r="F88" s="27"/>
      <c r="G88" s="27"/>
      <c r="H88" s="27"/>
      <c r="I88" s="27"/>
      <c r="J88" s="27"/>
      <c r="K88" s="27"/>
      <c r="L88" s="27"/>
      <c r="M88" s="27"/>
      <c r="N88" s="27"/>
      <c r="O88" s="27"/>
      <c r="P88" s="27"/>
      <c r="Q88" s="27"/>
      <c r="R88" s="27"/>
      <c r="S88" s="27"/>
    </row>
    <row r="89" spans="1:19" x14ac:dyDescent="0.25">
      <c r="A89" s="27"/>
      <c r="B89" s="27"/>
      <c r="C89" s="27"/>
      <c r="D89" s="27"/>
      <c r="E89" s="27"/>
      <c r="F89" s="27"/>
      <c r="G89" s="27"/>
      <c r="H89" s="27"/>
      <c r="I89" s="27"/>
      <c r="J89" s="27"/>
      <c r="K89" s="27"/>
      <c r="L89" s="27"/>
      <c r="M89" s="27"/>
      <c r="N89" s="27"/>
      <c r="O89" s="27"/>
      <c r="P89" s="27"/>
      <c r="Q89" s="27"/>
      <c r="R89" s="27"/>
      <c r="S89" s="27"/>
    </row>
    <row r="90" spans="1:19" x14ac:dyDescent="0.25">
      <c r="A90" s="27"/>
      <c r="B90" s="27"/>
      <c r="C90" s="27"/>
      <c r="D90" s="27"/>
      <c r="E90" s="27"/>
      <c r="F90" s="27"/>
      <c r="G90" s="27"/>
      <c r="H90" s="27"/>
      <c r="I90" s="27"/>
      <c r="J90" s="27"/>
      <c r="K90" s="27"/>
      <c r="L90" s="27"/>
      <c r="M90" s="27"/>
      <c r="N90" s="27"/>
      <c r="O90" s="27"/>
      <c r="P90" s="27"/>
      <c r="Q90" s="27"/>
      <c r="R90" s="27"/>
      <c r="S90" s="27"/>
    </row>
    <row r="91" spans="1:19" x14ac:dyDescent="0.25">
      <c r="A91" s="27"/>
      <c r="B91" s="27"/>
      <c r="C91" s="27"/>
      <c r="D91" s="27"/>
      <c r="E91" s="27"/>
      <c r="F91" s="27"/>
      <c r="G91" s="27"/>
      <c r="H91" s="27"/>
      <c r="I91" s="27"/>
      <c r="J91" s="27"/>
      <c r="K91" s="27"/>
      <c r="L91" s="27"/>
      <c r="M91" s="27"/>
      <c r="N91" s="27"/>
      <c r="O91" s="27"/>
      <c r="P91" s="27"/>
      <c r="Q91" s="27"/>
      <c r="R91" s="27"/>
      <c r="S91" s="27"/>
    </row>
    <row r="92" spans="1:19" x14ac:dyDescent="0.25">
      <c r="A92" s="27"/>
      <c r="B92" s="27"/>
      <c r="C92" s="27"/>
      <c r="D92" s="27"/>
      <c r="E92" s="27"/>
      <c r="F92" s="27"/>
      <c r="G92" s="27"/>
      <c r="H92" s="27"/>
      <c r="I92" s="27"/>
      <c r="J92" s="27"/>
      <c r="K92" s="27"/>
      <c r="L92" s="27"/>
      <c r="M92" s="27"/>
      <c r="N92" s="27"/>
      <c r="O92" s="27"/>
      <c r="P92" s="27"/>
      <c r="Q92" s="27"/>
      <c r="R92" s="27"/>
      <c r="S92" s="27"/>
    </row>
    <row r="93" spans="1:19" x14ac:dyDescent="0.25">
      <c r="A93" s="27"/>
      <c r="B93" s="27"/>
      <c r="C93" s="27"/>
      <c r="D93" s="27"/>
      <c r="E93" s="27"/>
      <c r="F93" s="27"/>
      <c r="G93" s="27"/>
      <c r="H93" s="27"/>
      <c r="I93" s="27"/>
      <c r="J93" s="27"/>
      <c r="K93" s="27"/>
      <c r="L93" s="27"/>
      <c r="M93" s="27"/>
      <c r="N93" s="27"/>
      <c r="O93" s="27"/>
      <c r="P93" s="27"/>
      <c r="Q93" s="27"/>
      <c r="R93" s="27"/>
      <c r="S93" s="27"/>
    </row>
    <row r="94" spans="1:19" x14ac:dyDescent="0.25">
      <c r="A94" s="27"/>
      <c r="B94" s="27"/>
      <c r="C94" s="27"/>
      <c r="D94" s="27"/>
      <c r="E94" s="27"/>
      <c r="F94" s="27"/>
      <c r="G94" s="27"/>
      <c r="H94" s="27"/>
      <c r="I94" s="27"/>
      <c r="J94" s="27"/>
      <c r="K94" s="27"/>
      <c r="L94" s="27"/>
      <c r="M94" s="27"/>
      <c r="N94" s="27"/>
      <c r="O94" s="27"/>
      <c r="P94" s="27"/>
      <c r="Q94" s="27"/>
      <c r="R94" s="27"/>
      <c r="S94" s="27"/>
    </row>
    <row r="95" spans="1:19" x14ac:dyDescent="0.25">
      <c r="A95" s="27"/>
      <c r="B95" s="27"/>
      <c r="C95" s="27"/>
      <c r="D95" s="27"/>
      <c r="E95" s="27"/>
      <c r="F95" s="27"/>
      <c r="G95" s="27"/>
      <c r="H95" s="27"/>
      <c r="I95" s="27"/>
      <c r="J95" s="27"/>
      <c r="K95" s="27"/>
      <c r="L95" s="27"/>
      <c r="M95" s="27"/>
      <c r="N95" s="27"/>
      <c r="O95" s="27"/>
      <c r="P95" s="27"/>
      <c r="Q95" s="27"/>
      <c r="R95" s="27"/>
      <c r="S95" s="27"/>
    </row>
    <row r="96" spans="1:19" x14ac:dyDescent="0.25">
      <c r="A96" s="27"/>
      <c r="B96" s="27"/>
      <c r="C96" s="27"/>
      <c r="D96" s="27"/>
      <c r="E96" s="27"/>
      <c r="F96" s="27"/>
      <c r="G96" s="27"/>
      <c r="H96" s="27"/>
      <c r="I96" s="27"/>
      <c r="J96" s="27"/>
      <c r="K96" s="27"/>
      <c r="L96" s="27"/>
      <c r="M96" s="27"/>
      <c r="N96" s="27"/>
      <c r="O96" s="27"/>
      <c r="P96" s="27"/>
      <c r="Q96" s="27"/>
      <c r="R96" s="27"/>
      <c r="S96" s="27"/>
    </row>
    <row r="97" spans="1:19" x14ac:dyDescent="0.25">
      <c r="A97" s="27"/>
      <c r="B97" s="27"/>
      <c r="C97" s="27"/>
      <c r="D97" s="27"/>
      <c r="E97" s="27"/>
      <c r="F97" s="27"/>
      <c r="G97" s="27"/>
      <c r="H97" s="27"/>
      <c r="I97" s="27"/>
      <c r="J97" s="27"/>
      <c r="K97" s="27"/>
      <c r="L97" s="27"/>
      <c r="M97" s="27"/>
      <c r="N97" s="27"/>
      <c r="O97" s="27"/>
      <c r="P97" s="27"/>
      <c r="Q97" s="27"/>
      <c r="R97" s="27"/>
      <c r="S97" s="27"/>
    </row>
    <row r="98" spans="1:19" x14ac:dyDescent="0.25">
      <c r="A98" s="27"/>
      <c r="B98" s="27"/>
      <c r="C98" s="27"/>
      <c r="D98" s="27"/>
      <c r="E98" s="27"/>
      <c r="F98" s="27"/>
      <c r="G98" s="27"/>
      <c r="H98" s="27"/>
      <c r="I98" s="27"/>
      <c r="J98" s="27"/>
      <c r="K98" s="27"/>
      <c r="L98" s="27"/>
      <c r="M98" s="27"/>
      <c r="N98" s="27"/>
      <c r="O98" s="27"/>
      <c r="P98" s="27"/>
      <c r="Q98" s="27"/>
      <c r="R98" s="27"/>
      <c r="S98" s="27"/>
    </row>
    <row r="99" spans="1:19" x14ac:dyDescent="0.25">
      <c r="A99" s="27"/>
      <c r="B99" s="27"/>
      <c r="C99" s="27"/>
      <c r="D99" s="27"/>
      <c r="E99" s="27"/>
      <c r="F99" s="27"/>
      <c r="G99" s="27"/>
      <c r="H99" s="27"/>
      <c r="I99" s="27"/>
      <c r="J99" s="27"/>
      <c r="K99" s="27"/>
      <c r="L99" s="27"/>
      <c r="M99" s="27"/>
      <c r="N99" s="27"/>
      <c r="O99" s="27"/>
      <c r="P99" s="27"/>
      <c r="Q99" s="27"/>
      <c r="R99" s="27"/>
      <c r="S99" s="27"/>
    </row>
    <row r="100" spans="1:19" x14ac:dyDescent="0.25">
      <c r="A100" s="27"/>
      <c r="B100" s="27"/>
      <c r="C100" s="27"/>
      <c r="D100" s="27"/>
      <c r="E100" s="27"/>
      <c r="F100" s="27"/>
      <c r="G100" s="27"/>
      <c r="H100" s="27"/>
      <c r="I100" s="27"/>
      <c r="J100" s="27"/>
      <c r="K100" s="27"/>
      <c r="L100" s="27"/>
      <c r="M100" s="27"/>
      <c r="N100" s="27"/>
      <c r="O100" s="27"/>
      <c r="P100" s="27"/>
      <c r="Q100" s="27"/>
      <c r="R100" s="27"/>
      <c r="S100" s="27"/>
    </row>
    <row r="101" spans="1:19" x14ac:dyDescent="0.25">
      <c r="A101" s="27"/>
      <c r="B101" s="27"/>
      <c r="C101" s="27"/>
      <c r="D101" s="27"/>
      <c r="E101" s="27"/>
      <c r="F101" s="27"/>
      <c r="G101" s="27"/>
      <c r="H101" s="27"/>
      <c r="I101" s="27"/>
      <c r="J101" s="27"/>
      <c r="K101" s="27"/>
      <c r="L101" s="27"/>
      <c r="M101" s="27"/>
      <c r="N101" s="27"/>
      <c r="O101" s="27"/>
      <c r="P101" s="27"/>
      <c r="Q101" s="27"/>
      <c r="R101" s="27"/>
      <c r="S101" s="27"/>
    </row>
    <row r="102" spans="1:19" x14ac:dyDescent="0.25">
      <c r="A102" s="27"/>
      <c r="B102" s="27"/>
      <c r="C102" s="27"/>
      <c r="D102" s="27"/>
      <c r="E102" s="27"/>
      <c r="F102" s="27"/>
      <c r="G102" s="27"/>
      <c r="H102" s="27"/>
      <c r="I102" s="27"/>
      <c r="J102" s="27"/>
      <c r="K102" s="27"/>
      <c r="L102" s="27"/>
      <c r="M102" s="27"/>
      <c r="N102" s="27"/>
      <c r="O102" s="27"/>
      <c r="P102" s="27"/>
      <c r="Q102" s="27"/>
      <c r="R102" s="27"/>
      <c r="S102" s="27"/>
    </row>
    <row r="103" spans="1:19" x14ac:dyDescent="0.25">
      <c r="A103" s="27"/>
      <c r="B103" s="27"/>
      <c r="C103" s="27"/>
      <c r="D103" s="27"/>
      <c r="E103" s="27"/>
      <c r="F103" s="27"/>
      <c r="G103" s="27"/>
      <c r="H103" s="27"/>
      <c r="I103" s="27"/>
      <c r="J103" s="27"/>
      <c r="K103" s="27"/>
      <c r="L103" s="27"/>
      <c r="M103" s="27"/>
      <c r="N103" s="27"/>
      <c r="O103" s="27"/>
      <c r="P103" s="27"/>
      <c r="Q103" s="27"/>
      <c r="R103" s="27"/>
      <c r="S103" s="27"/>
    </row>
    <row r="104" spans="1:19" x14ac:dyDescent="0.25">
      <c r="A104" s="27"/>
      <c r="B104" s="27"/>
      <c r="C104" s="27"/>
      <c r="D104" s="27"/>
      <c r="E104" s="27"/>
      <c r="F104" s="27"/>
      <c r="G104" s="27"/>
      <c r="H104" s="27"/>
      <c r="I104" s="27"/>
      <c r="J104" s="27"/>
      <c r="K104" s="27"/>
      <c r="L104" s="27"/>
      <c r="M104" s="27"/>
      <c r="N104" s="27"/>
      <c r="O104" s="27"/>
      <c r="P104" s="27"/>
      <c r="Q104" s="27"/>
      <c r="R104" s="27"/>
      <c r="S104" s="27"/>
    </row>
    <row r="105" spans="1:19" x14ac:dyDescent="0.25">
      <c r="A105" s="27"/>
      <c r="B105" s="27"/>
      <c r="C105" s="27"/>
      <c r="D105" s="27"/>
      <c r="E105" s="27"/>
      <c r="F105" s="27"/>
      <c r="G105" s="27"/>
      <c r="H105" s="27"/>
      <c r="I105" s="27"/>
      <c r="J105" s="27"/>
      <c r="K105" s="27"/>
      <c r="L105" s="27"/>
      <c r="M105" s="27"/>
      <c r="N105" s="27"/>
      <c r="O105" s="27"/>
      <c r="P105" s="27"/>
      <c r="Q105" s="27"/>
      <c r="R105" s="27"/>
      <c r="S105" s="27"/>
    </row>
    <row r="106" spans="1:19" x14ac:dyDescent="0.25">
      <c r="A106" s="27"/>
      <c r="B106" s="27"/>
      <c r="C106" s="27"/>
      <c r="D106" s="27"/>
      <c r="E106" s="27"/>
      <c r="F106" s="27"/>
      <c r="G106" s="27"/>
      <c r="H106" s="27"/>
      <c r="I106" s="27"/>
      <c r="J106" s="27"/>
      <c r="K106" s="27"/>
      <c r="L106" s="27"/>
      <c r="M106" s="27"/>
      <c r="N106" s="27"/>
      <c r="O106" s="27"/>
      <c r="P106" s="27"/>
      <c r="Q106" s="27"/>
      <c r="R106" s="27"/>
      <c r="S106" s="27"/>
    </row>
    <row r="107" spans="1:19" x14ac:dyDescent="0.25">
      <c r="A107" s="27"/>
      <c r="B107" s="27"/>
      <c r="C107" s="27"/>
      <c r="D107" s="27"/>
      <c r="E107" s="27"/>
      <c r="F107" s="27"/>
      <c r="G107" s="27"/>
      <c r="H107" s="27"/>
      <c r="I107" s="27"/>
      <c r="J107" s="27"/>
      <c r="K107" s="27"/>
      <c r="L107" s="27"/>
      <c r="M107" s="27"/>
      <c r="N107" s="27"/>
      <c r="O107" s="27"/>
      <c r="P107" s="27"/>
      <c r="Q107" s="27"/>
      <c r="R107" s="27"/>
      <c r="S107" s="27"/>
    </row>
    <row r="108" spans="1:19" x14ac:dyDescent="0.25">
      <c r="A108" s="27"/>
      <c r="B108" s="27"/>
      <c r="C108" s="27"/>
      <c r="D108" s="27"/>
      <c r="E108" s="27"/>
      <c r="F108" s="27"/>
      <c r="G108" s="27"/>
      <c r="H108" s="27"/>
      <c r="I108" s="27"/>
      <c r="J108" s="27"/>
      <c r="K108" s="27"/>
      <c r="L108" s="27"/>
      <c r="M108" s="27"/>
      <c r="N108" s="27"/>
      <c r="O108" s="27"/>
      <c r="P108" s="27"/>
      <c r="Q108" s="27"/>
      <c r="R108" s="27"/>
      <c r="S108" s="27"/>
    </row>
    <row r="109" spans="1:19" x14ac:dyDescent="0.25">
      <c r="A109" s="27"/>
      <c r="B109" s="27"/>
      <c r="C109" s="27"/>
      <c r="D109" s="27"/>
      <c r="E109" s="27"/>
      <c r="F109" s="27"/>
      <c r="G109" s="27"/>
      <c r="H109" s="27"/>
      <c r="I109" s="27"/>
      <c r="J109" s="27"/>
      <c r="K109" s="27"/>
      <c r="L109" s="27"/>
      <c r="M109" s="27"/>
      <c r="N109" s="27"/>
      <c r="O109" s="27"/>
      <c r="P109" s="27"/>
      <c r="Q109" s="27"/>
      <c r="R109" s="27"/>
      <c r="S109" s="27"/>
    </row>
    <row r="110" spans="1:19" x14ac:dyDescent="0.25">
      <c r="A110" s="27"/>
      <c r="B110" s="27"/>
      <c r="C110" s="27"/>
      <c r="D110" s="27"/>
      <c r="E110" s="27"/>
      <c r="F110" s="27"/>
      <c r="G110" s="27"/>
      <c r="H110" s="27"/>
      <c r="I110" s="27"/>
      <c r="J110" s="27"/>
      <c r="K110" s="27"/>
      <c r="L110" s="27"/>
      <c r="M110" s="27"/>
      <c r="N110" s="27"/>
      <c r="O110" s="27"/>
      <c r="P110" s="27"/>
      <c r="Q110" s="27"/>
      <c r="R110" s="27"/>
      <c r="S110" s="27"/>
    </row>
    <row r="111" spans="1:19" x14ac:dyDescent="0.25">
      <c r="A111" s="27"/>
      <c r="B111" s="27"/>
      <c r="C111" s="27"/>
      <c r="D111" s="27"/>
      <c r="E111" s="27"/>
      <c r="F111" s="27"/>
      <c r="G111" s="27"/>
      <c r="H111" s="27"/>
      <c r="I111" s="27"/>
      <c r="J111" s="27"/>
      <c r="K111" s="27"/>
      <c r="L111" s="27"/>
      <c r="M111" s="27"/>
      <c r="N111" s="27"/>
      <c r="O111" s="27"/>
      <c r="P111" s="27"/>
      <c r="Q111" s="27"/>
      <c r="R111" s="27"/>
      <c r="S111" s="27"/>
    </row>
    <row r="112" spans="1:19" x14ac:dyDescent="0.25">
      <c r="A112" s="27"/>
      <c r="B112" s="27"/>
      <c r="C112" s="27"/>
      <c r="D112" s="27"/>
      <c r="E112" s="27"/>
      <c r="F112" s="27"/>
      <c r="G112" s="27"/>
      <c r="H112" s="27"/>
      <c r="I112" s="27"/>
      <c r="J112" s="27"/>
      <c r="K112" s="27"/>
      <c r="L112" s="27"/>
      <c r="M112" s="27"/>
      <c r="N112" s="27"/>
      <c r="O112" s="27"/>
      <c r="P112" s="27"/>
      <c r="Q112" s="27"/>
      <c r="R112" s="27"/>
      <c r="S112" s="27"/>
    </row>
    <row r="113" spans="1:19" x14ac:dyDescent="0.25">
      <c r="A113" s="27"/>
      <c r="B113" s="27"/>
      <c r="C113" s="27"/>
      <c r="D113" s="27"/>
      <c r="E113" s="27"/>
      <c r="F113" s="27"/>
      <c r="G113" s="27"/>
      <c r="H113" s="27"/>
      <c r="I113" s="27"/>
      <c r="J113" s="27"/>
      <c r="K113" s="27"/>
      <c r="L113" s="27"/>
      <c r="M113" s="27"/>
      <c r="N113" s="27"/>
      <c r="O113" s="27"/>
      <c r="P113" s="27"/>
      <c r="Q113" s="27"/>
      <c r="R113" s="27"/>
      <c r="S113" s="27"/>
    </row>
    <row r="114" spans="1:19" x14ac:dyDescent="0.25">
      <c r="A114" s="27"/>
      <c r="B114" s="27"/>
      <c r="C114" s="27"/>
      <c r="D114" s="27"/>
      <c r="E114" s="27"/>
      <c r="F114" s="27"/>
      <c r="G114" s="27"/>
      <c r="H114" s="27"/>
      <c r="I114" s="27"/>
      <c r="J114" s="27"/>
      <c r="K114" s="27"/>
      <c r="L114" s="27"/>
      <c r="M114" s="27"/>
      <c r="N114" s="27"/>
      <c r="O114" s="27"/>
      <c r="P114" s="27"/>
      <c r="Q114" s="27"/>
      <c r="R114" s="27"/>
      <c r="S114" s="27"/>
    </row>
    <row r="115" spans="1:19" x14ac:dyDescent="0.25">
      <c r="A115" s="27"/>
      <c r="B115" s="27"/>
      <c r="C115" s="27"/>
      <c r="D115" s="27"/>
      <c r="E115" s="27"/>
      <c r="F115" s="27"/>
      <c r="G115" s="27"/>
      <c r="H115" s="27"/>
      <c r="I115" s="27"/>
      <c r="J115" s="27"/>
      <c r="K115" s="27"/>
      <c r="L115" s="27"/>
      <c r="M115" s="27"/>
      <c r="N115" s="27"/>
      <c r="O115" s="27"/>
      <c r="P115" s="27"/>
      <c r="Q115" s="27"/>
      <c r="R115" s="27"/>
      <c r="S115" s="27"/>
    </row>
    <row r="116" spans="1:19" x14ac:dyDescent="0.25">
      <c r="A116" s="27"/>
      <c r="B116" s="27"/>
      <c r="C116" s="27"/>
      <c r="D116" s="27"/>
      <c r="E116" s="27"/>
      <c r="F116" s="27"/>
      <c r="G116" s="27"/>
      <c r="H116" s="27"/>
      <c r="I116" s="27"/>
      <c r="J116" s="27"/>
      <c r="K116" s="27"/>
      <c r="L116" s="27"/>
      <c r="M116" s="27"/>
      <c r="N116" s="27"/>
      <c r="O116" s="27"/>
      <c r="P116" s="27"/>
      <c r="Q116" s="27"/>
      <c r="R116" s="27"/>
      <c r="S116" s="27"/>
    </row>
    <row r="117" spans="1:19" x14ac:dyDescent="0.25">
      <c r="A117" s="27"/>
      <c r="B117" s="27"/>
      <c r="C117" s="27"/>
      <c r="D117" s="27"/>
      <c r="E117" s="27"/>
      <c r="F117" s="27"/>
      <c r="G117" s="27"/>
      <c r="H117" s="27"/>
      <c r="I117" s="27"/>
      <c r="J117" s="27"/>
      <c r="K117" s="27"/>
      <c r="L117" s="27"/>
      <c r="M117" s="27"/>
      <c r="N117" s="27"/>
      <c r="O117" s="27"/>
      <c r="P117" s="27"/>
      <c r="Q117" s="27"/>
      <c r="R117" s="27"/>
      <c r="S117" s="27"/>
    </row>
    <row r="118" spans="1:19" x14ac:dyDescent="0.25">
      <c r="A118" s="27"/>
      <c r="B118" s="27"/>
      <c r="C118" s="27"/>
      <c r="D118" s="27"/>
      <c r="E118" s="27"/>
      <c r="F118" s="27"/>
      <c r="G118" s="27"/>
      <c r="H118" s="27"/>
      <c r="I118" s="27"/>
      <c r="J118" s="27"/>
      <c r="K118" s="27"/>
      <c r="L118" s="27"/>
      <c r="M118" s="27"/>
      <c r="N118" s="27"/>
      <c r="O118" s="27"/>
      <c r="P118" s="27"/>
      <c r="Q118" s="27"/>
      <c r="R118" s="27"/>
      <c r="S118" s="27"/>
    </row>
    <row r="119" spans="1:19" x14ac:dyDescent="0.25">
      <c r="A119" s="27"/>
      <c r="B119" s="27"/>
      <c r="C119" s="27"/>
      <c r="D119" s="27"/>
      <c r="E119" s="27"/>
      <c r="F119" s="27"/>
      <c r="G119" s="27"/>
      <c r="H119" s="27"/>
      <c r="I119" s="27"/>
      <c r="J119" s="27"/>
      <c r="K119" s="27"/>
      <c r="L119" s="27"/>
      <c r="M119" s="27"/>
      <c r="N119" s="27"/>
      <c r="O119" s="27"/>
      <c r="P119" s="27"/>
      <c r="Q119" s="27"/>
      <c r="R119" s="27"/>
      <c r="S119" s="27"/>
    </row>
    <row r="120" spans="1:19" x14ac:dyDescent="0.25">
      <c r="A120" s="27"/>
      <c r="B120" s="27"/>
      <c r="C120" s="27"/>
      <c r="D120" s="27"/>
      <c r="E120" s="27"/>
      <c r="F120" s="27"/>
      <c r="G120" s="27"/>
      <c r="H120" s="27"/>
      <c r="I120" s="27"/>
      <c r="J120" s="27"/>
      <c r="K120" s="27"/>
      <c r="L120" s="27"/>
      <c r="M120" s="27"/>
      <c r="N120" s="27"/>
      <c r="O120" s="27"/>
      <c r="P120" s="27"/>
      <c r="Q120" s="27"/>
      <c r="R120" s="27"/>
      <c r="S120" s="27"/>
    </row>
    <row r="121" spans="1:19" x14ac:dyDescent="0.25">
      <c r="A121" s="27"/>
      <c r="B121" s="27"/>
      <c r="C121" s="27"/>
      <c r="D121" s="27"/>
      <c r="E121" s="27"/>
      <c r="F121" s="27"/>
      <c r="G121" s="27"/>
      <c r="H121" s="27"/>
      <c r="I121" s="27"/>
      <c r="J121" s="27"/>
      <c r="K121" s="27"/>
      <c r="L121" s="27"/>
      <c r="M121" s="27"/>
      <c r="N121" s="27"/>
      <c r="O121" s="27"/>
      <c r="P121" s="27"/>
      <c r="Q121" s="27"/>
      <c r="R121" s="27"/>
      <c r="S121" s="27"/>
    </row>
    <row r="122" spans="1:19" x14ac:dyDescent="0.25">
      <c r="A122" s="27"/>
      <c r="B122" s="27"/>
      <c r="C122" s="27"/>
      <c r="D122" s="27"/>
      <c r="E122" s="27"/>
      <c r="F122" s="27"/>
      <c r="G122" s="27"/>
      <c r="H122" s="27"/>
      <c r="I122" s="27"/>
      <c r="J122" s="27"/>
      <c r="K122" s="27"/>
      <c r="L122" s="27"/>
      <c r="M122" s="27"/>
      <c r="N122" s="27"/>
      <c r="O122" s="27"/>
      <c r="P122" s="27"/>
      <c r="Q122" s="27"/>
      <c r="R122" s="27"/>
      <c r="S122" s="27"/>
    </row>
    <row r="123" spans="1:19" x14ac:dyDescent="0.25">
      <c r="A123" s="27"/>
      <c r="B123" s="27"/>
      <c r="C123" s="27"/>
      <c r="D123" s="27"/>
      <c r="E123" s="27"/>
      <c r="F123" s="27"/>
      <c r="G123" s="27"/>
      <c r="H123" s="27"/>
      <c r="I123" s="27"/>
      <c r="J123" s="27"/>
      <c r="K123" s="27"/>
      <c r="L123" s="27"/>
      <c r="M123" s="27"/>
      <c r="N123" s="27"/>
      <c r="O123" s="27"/>
      <c r="P123" s="27"/>
      <c r="Q123" s="27"/>
      <c r="R123" s="27"/>
      <c r="S123" s="27"/>
    </row>
    <row r="124" spans="1:19" x14ac:dyDescent="0.25">
      <c r="A124" s="27"/>
      <c r="B124" s="27"/>
      <c r="C124" s="27"/>
      <c r="D124" s="27"/>
      <c r="E124" s="27"/>
      <c r="F124" s="27"/>
      <c r="G124" s="27"/>
      <c r="H124" s="27"/>
      <c r="I124" s="27"/>
      <c r="J124" s="27"/>
      <c r="K124" s="27"/>
      <c r="L124" s="27"/>
      <c r="M124" s="27"/>
      <c r="N124" s="27"/>
      <c r="O124" s="27"/>
      <c r="P124" s="27"/>
      <c r="Q124" s="27"/>
      <c r="R124" s="27"/>
      <c r="S124" s="27"/>
    </row>
    <row r="125" spans="1:19" x14ac:dyDescent="0.25">
      <c r="A125" s="27"/>
      <c r="B125" s="27"/>
      <c r="C125" s="27"/>
      <c r="D125" s="27"/>
      <c r="E125" s="27"/>
      <c r="F125" s="27"/>
      <c r="G125" s="27"/>
      <c r="H125" s="27"/>
      <c r="I125" s="27"/>
      <c r="J125" s="27"/>
      <c r="K125" s="27"/>
      <c r="L125" s="27"/>
      <c r="M125" s="27"/>
      <c r="N125" s="27"/>
      <c r="O125" s="27"/>
      <c r="P125" s="27"/>
      <c r="Q125" s="27"/>
      <c r="R125" s="27"/>
      <c r="S125" s="27"/>
    </row>
    <row r="126" spans="1:19" x14ac:dyDescent="0.25">
      <c r="A126" s="27"/>
      <c r="B126" s="27"/>
      <c r="C126" s="27"/>
      <c r="D126" s="27"/>
      <c r="E126" s="27"/>
      <c r="F126" s="27"/>
      <c r="G126" s="27"/>
      <c r="H126" s="27"/>
      <c r="I126" s="27"/>
      <c r="J126" s="27"/>
      <c r="K126" s="27"/>
      <c r="L126" s="27"/>
      <c r="M126" s="27"/>
      <c r="N126" s="27"/>
      <c r="O126" s="27"/>
      <c r="P126" s="27"/>
      <c r="Q126" s="27"/>
      <c r="R126" s="27"/>
      <c r="S126" s="27"/>
    </row>
    <row r="127" spans="1:19" x14ac:dyDescent="0.25">
      <c r="A127" s="27"/>
      <c r="B127" s="27"/>
      <c r="C127" s="27"/>
      <c r="D127" s="27"/>
      <c r="E127" s="27"/>
      <c r="F127" s="27"/>
      <c r="G127" s="27"/>
      <c r="H127" s="27"/>
      <c r="I127" s="27"/>
      <c r="J127" s="27"/>
      <c r="K127" s="27"/>
      <c r="L127" s="27"/>
      <c r="M127" s="27"/>
      <c r="N127" s="27"/>
      <c r="O127" s="27"/>
      <c r="P127" s="27"/>
      <c r="Q127" s="27"/>
      <c r="R127" s="27"/>
      <c r="S127" s="27"/>
    </row>
    <row r="128" spans="1:19" x14ac:dyDescent="0.25">
      <c r="A128" s="27"/>
      <c r="B128" s="27"/>
      <c r="C128" s="27"/>
      <c r="D128" s="27"/>
      <c r="E128" s="27"/>
      <c r="F128" s="27"/>
      <c r="G128" s="27"/>
      <c r="H128" s="27"/>
      <c r="I128" s="27"/>
      <c r="J128" s="27"/>
      <c r="K128" s="27"/>
      <c r="L128" s="27"/>
      <c r="M128" s="27"/>
      <c r="N128" s="27"/>
      <c r="O128" s="27"/>
      <c r="P128" s="27"/>
      <c r="Q128" s="27"/>
      <c r="R128" s="27"/>
      <c r="S128" s="27"/>
    </row>
    <row r="129" spans="1:19" x14ac:dyDescent="0.25">
      <c r="A129" s="27"/>
      <c r="B129" s="27"/>
      <c r="C129" s="27"/>
      <c r="D129" s="27"/>
      <c r="E129" s="27"/>
      <c r="F129" s="27"/>
      <c r="G129" s="27"/>
      <c r="H129" s="27"/>
      <c r="I129" s="27"/>
      <c r="J129" s="27"/>
      <c r="K129" s="27"/>
      <c r="L129" s="27"/>
      <c r="M129" s="27"/>
      <c r="N129" s="27"/>
      <c r="O129" s="27"/>
      <c r="P129" s="27"/>
      <c r="Q129" s="27"/>
      <c r="R129" s="27"/>
      <c r="S129" s="27"/>
    </row>
    <row r="130" spans="1:19" x14ac:dyDescent="0.25">
      <c r="A130" s="27"/>
      <c r="B130" s="27"/>
      <c r="C130" s="27"/>
      <c r="D130" s="27"/>
      <c r="E130" s="27"/>
      <c r="F130" s="27"/>
      <c r="G130" s="27"/>
      <c r="H130" s="27"/>
      <c r="I130" s="27"/>
      <c r="J130" s="27"/>
      <c r="K130" s="27"/>
      <c r="L130" s="27"/>
      <c r="M130" s="27"/>
      <c r="N130" s="27"/>
      <c r="O130" s="27"/>
      <c r="P130" s="27"/>
      <c r="Q130" s="27"/>
      <c r="R130" s="27"/>
      <c r="S130" s="27"/>
    </row>
    <row r="131" spans="1:19" x14ac:dyDescent="0.25">
      <c r="A131" s="27"/>
      <c r="B131" s="27"/>
      <c r="C131" s="27"/>
      <c r="D131" s="27"/>
      <c r="E131" s="27"/>
      <c r="F131" s="27"/>
      <c r="G131" s="27"/>
      <c r="H131" s="27"/>
      <c r="I131" s="27"/>
      <c r="J131" s="27"/>
      <c r="K131" s="27"/>
      <c r="L131" s="27"/>
      <c r="M131" s="27"/>
      <c r="N131" s="27"/>
      <c r="O131" s="27"/>
      <c r="P131" s="27"/>
      <c r="Q131" s="27"/>
      <c r="R131" s="27"/>
      <c r="S131" s="27"/>
    </row>
    <row r="132" spans="1:19" x14ac:dyDescent="0.25">
      <c r="A132" s="27"/>
      <c r="B132" s="27"/>
      <c r="C132" s="27"/>
      <c r="D132" s="27"/>
      <c r="E132" s="27"/>
      <c r="F132" s="27"/>
      <c r="G132" s="27"/>
      <c r="H132" s="27"/>
      <c r="I132" s="27"/>
      <c r="J132" s="27"/>
      <c r="K132" s="27"/>
      <c r="L132" s="27"/>
      <c r="M132" s="27"/>
      <c r="N132" s="27"/>
      <c r="O132" s="27"/>
      <c r="P132" s="27"/>
      <c r="Q132" s="27"/>
      <c r="R132" s="27"/>
      <c r="S132" s="27"/>
    </row>
    <row r="133" spans="1:19" x14ac:dyDescent="0.25">
      <c r="A133" s="27"/>
      <c r="B133" s="27"/>
      <c r="C133" s="27"/>
      <c r="D133" s="27"/>
      <c r="E133" s="27"/>
      <c r="F133" s="27"/>
      <c r="G133" s="27"/>
      <c r="H133" s="27"/>
      <c r="I133" s="27"/>
      <c r="J133" s="27"/>
      <c r="K133" s="27"/>
      <c r="L133" s="27"/>
      <c r="M133" s="27"/>
      <c r="N133" s="27"/>
      <c r="O133" s="27"/>
      <c r="P133" s="27"/>
      <c r="Q133" s="27"/>
      <c r="R133" s="27"/>
      <c r="S133" s="27"/>
    </row>
    <row r="134" spans="1:19" x14ac:dyDescent="0.25">
      <c r="A134" s="27"/>
      <c r="B134" s="27"/>
      <c r="C134" s="27"/>
      <c r="D134" s="27"/>
      <c r="E134" s="27"/>
      <c r="F134" s="27"/>
      <c r="G134" s="27"/>
      <c r="H134" s="27"/>
      <c r="I134" s="27"/>
      <c r="J134" s="27"/>
      <c r="K134" s="27"/>
      <c r="L134" s="27"/>
      <c r="M134" s="27"/>
      <c r="N134" s="27"/>
      <c r="O134" s="27"/>
      <c r="P134" s="27"/>
      <c r="Q134" s="27"/>
      <c r="R134" s="27"/>
      <c r="S134" s="27"/>
    </row>
    <row r="135" spans="1:19" x14ac:dyDescent="0.25">
      <c r="A135" s="27"/>
      <c r="B135" s="27"/>
      <c r="C135" s="27"/>
      <c r="D135" s="27"/>
      <c r="E135" s="27"/>
      <c r="F135" s="27"/>
      <c r="G135" s="27"/>
      <c r="H135" s="27"/>
      <c r="I135" s="27"/>
      <c r="J135" s="27"/>
      <c r="K135" s="27"/>
      <c r="L135" s="27"/>
      <c r="M135" s="27"/>
      <c r="N135" s="27"/>
      <c r="O135" s="27"/>
      <c r="P135" s="27"/>
      <c r="Q135" s="27"/>
      <c r="R135" s="27"/>
      <c r="S135" s="27"/>
    </row>
    <row r="136" spans="1:19" x14ac:dyDescent="0.25">
      <c r="A136" s="27"/>
      <c r="B136" s="27"/>
      <c r="C136" s="27"/>
      <c r="D136" s="27"/>
      <c r="E136" s="27"/>
      <c r="F136" s="27"/>
      <c r="G136" s="27"/>
      <c r="H136" s="27"/>
      <c r="I136" s="27"/>
      <c r="J136" s="27"/>
      <c r="K136" s="27"/>
      <c r="L136" s="27"/>
      <c r="M136" s="27"/>
      <c r="N136" s="27"/>
      <c r="O136" s="27"/>
      <c r="P136" s="27"/>
      <c r="Q136" s="27"/>
      <c r="R136" s="27"/>
      <c r="S136" s="27"/>
    </row>
    <row r="137" spans="1:19" x14ac:dyDescent="0.25">
      <c r="A137" s="27"/>
      <c r="B137" s="27"/>
      <c r="C137" s="27"/>
      <c r="D137" s="27"/>
      <c r="E137" s="27"/>
      <c r="F137" s="27"/>
      <c r="G137" s="27"/>
      <c r="H137" s="27"/>
      <c r="I137" s="27"/>
      <c r="J137" s="27"/>
      <c r="K137" s="27"/>
      <c r="L137" s="27"/>
      <c r="M137" s="27"/>
      <c r="N137" s="27"/>
      <c r="O137" s="27"/>
      <c r="P137" s="27"/>
      <c r="Q137" s="27"/>
      <c r="R137" s="27"/>
      <c r="S137" s="27"/>
    </row>
    <row r="138" spans="1:19" x14ac:dyDescent="0.25">
      <c r="A138" s="27"/>
      <c r="B138" s="27"/>
      <c r="C138" s="27"/>
      <c r="D138" s="27"/>
      <c r="E138" s="27"/>
      <c r="F138" s="27"/>
      <c r="G138" s="27"/>
      <c r="H138" s="27"/>
      <c r="I138" s="27"/>
      <c r="J138" s="27"/>
      <c r="K138" s="27"/>
      <c r="L138" s="27"/>
      <c r="M138" s="27"/>
      <c r="N138" s="27"/>
      <c r="O138" s="27"/>
      <c r="P138" s="27"/>
      <c r="Q138" s="27"/>
      <c r="R138" s="27"/>
      <c r="S138" s="27"/>
    </row>
    <row r="139" spans="1:19" x14ac:dyDescent="0.25">
      <c r="A139" s="27"/>
      <c r="B139" s="27"/>
      <c r="C139" s="27"/>
      <c r="D139" s="27"/>
      <c r="E139" s="27"/>
      <c r="F139" s="27"/>
      <c r="G139" s="27"/>
      <c r="H139" s="27"/>
      <c r="I139" s="27"/>
      <c r="J139" s="27"/>
      <c r="K139" s="27"/>
      <c r="L139" s="27"/>
      <c r="M139" s="27"/>
      <c r="N139" s="27"/>
      <c r="O139" s="27"/>
      <c r="P139" s="27"/>
      <c r="Q139" s="27"/>
      <c r="R139" s="27"/>
      <c r="S139" s="27"/>
    </row>
    <row r="140" spans="1:19" x14ac:dyDescent="0.25">
      <c r="A140" s="27"/>
      <c r="B140" s="27"/>
      <c r="C140" s="27"/>
      <c r="D140" s="27"/>
      <c r="E140" s="27"/>
      <c r="F140" s="27"/>
      <c r="G140" s="27"/>
      <c r="H140" s="27"/>
      <c r="I140" s="27"/>
      <c r="J140" s="27"/>
      <c r="K140" s="27"/>
      <c r="L140" s="27"/>
      <c r="M140" s="27"/>
      <c r="N140" s="27"/>
      <c r="O140" s="27"/>
      <c r="P140" s="27"/>
      <c r="Q140" s="27"/>
      <c r="R140" s="27"/>
      <c r="S140" s="27"/>
    </row>
    <row r="141" spans="1:19" x14ac:dyDescent="0.25">
      <c r="A141" s="27"/>
      <c r="B141" s="27"/>
      <c r="C141" s="27"/>
      <c r="D141" s="27"/>
      <c r="E141" s="27"/>
      <c r="F141" s="27"/>
      <c r="G141" s="27"/>
      <c r="H141" s="27"/>
      <c r="I141" s="27"/>
      <c r="J141" s="27"/>
      <c r="K141" s="27"/>
      <c r="L141" s="27"/>
      <c r="M141" s="27"/>
      <c r="N141" s="27"/>
      <c r="O141" s="27"/>
      <c r="P141" s="27"/>
      <c r="Q141" s="27"/>
      <c r="R141" s="27"/>
      <c r="S141" s="27"/>
    </row>
    <row r="142" spans="1:19" x14ac:dyDescent="0.25">
      <c r="A142" s="27"/>
      <c r="B142" s="27"/>
      <c r="C142" s="27"/>
      <c r="D142" s="27"/>
      <c r="E142" s="27"/>
      <c r="F142" s="27"/>
      <c r="G142" s="27"/>
      <c r="H142" s="27"/>
      <c r="I142" s="27"/>
      <c r="J142" s="27"/>
      <c r="K142" s="27"/>
      <c r="L142" s="27"/>
      <c r="M142" s="27"/>
      <c r="N142" s="27"/>
      <c r="O142" s="27"/>
      <c r="P142" s="27"/>
      <c r="Q142" s="27"/>
      <c r="R142" s="27"/>
      <c r="S142" s="27"/>
    </row>
    <row r="143" spans="1:19" x14ac:dyDescent="0.25">
      <c r="A143" s="27"/>
      <c r="B143" s="27"/>
      <c r="C143" s="27"/>
      <c r="D143" s="27"/>
      <c r="E143" s="27"/>
      <c r="F143" s="27"/>
      <c r="G143" s="27"/>
      <c r="H143" s="27"/>
      <c r="I143" s="27"/>
      <c r="J143" s="27"/>
      <c r="K143" s="27"/>
      <c r="L143" s="27"/>
      <c r="M143" s="27"/>
      <c r="N143" s="27"/>
      <c r="O143" s="27"/>
      <c r="P143" s="27"/>
      <c r="Q143" s="27"/>
      <c r="R143" s="27"/>
      <c r="S143" s="27"/>
    </row>
    <row r="144" spans="1:19" x14ac:dyDescent="0.25">
      <c r="A144" s="27"/>
      <c r="B144" s="27"/>
      <c r="C144" s="27"/>
      <c r="D144" s="27"/>
      <c r="E144" s="27"/>
      <c r="F144" s="27"/>
      <c r="G144" s="27"/>
      <c r="H144" s="27"/>
      <c r="I144" s="27"/>
      <c r="J144" s="27"/>
      <c r="K144" s="27"/>
      <c r="L144" s="27"/>
      <c r="M144" s="27"/>
      <c r="N144" s="27"/>
      <c r="O144" s="27"/>
      <c r="P144" s="27"/>
      <c r="Q144" s="27"/>
      <c r="R144" s="27"/>
      <c r="S144" s="27"/>
    </row>
    <row r="145" spans="1:19" x14ac:dyDescent="0.25">
      <c r="A145" s="27"/>
      <c r="B145" s="27"/>
      <c r="C145" s="27"/>
      <c r="D145" s="27"/>
      <c r="E145" s="27"/>
      <c r="F145" s="27"/>
      <c r="G145" s="27"/>
      <c r="H145" s="27"/>
      <c r="I145" s="27"/>
      <c r="J145" s="27"/>
      <c r="K145" s="27"/>
      <c r="L145" s="27"/>
      <c r="M145" s="27"/>
      <c r="N145" s="27"/>
      <c r="O145" s="27"/>
      <c r="P145" s="27"/>
      <c r="Q145" s="27"/>
      <c r="R145" s="27"/>
      <c r="S145" s="27"/>
    </row>
    <row r="146" spans="1:19" x14ac:dyDescent="0.25">
      <c r="A146" s="27"/>
      <c r="B146" s="27"/>
      <c r="C146" s="27"/>
      <c r="D146" s="27"/>
      <c r="E146" s="27"/>
      <c r="F146" s="27"/>
      <c r="G146" s="27"/>
      <c r="H146" s="27"/>
      <c r="I146" s="27"/>
      <c r="J146" s="27"/>
      <c r="K146" s="27"/>
      <c r="L146" s="27"/>
      <c r="M146" s="27"/>
      <c r="N146" s="27"/>
      <c r="O146" s="27"/>
      <c r="P146" s="27"/>
      <c r="Q146" s="27"/>
      <c r="R146" s="27"/>
      <c r="S146" s="27"/>
    </row>
    <row r="147" spans="1:19" x14ac:dyDescent="0.25">
      <c r="A147" s="27"/>
      <c r="B147" s="27"/>
      <c r="C147" s="27"/>
      <c r="D147" s="27"/>
      <c r="E147" s="27"/>
      <c r="F147" s="27"/>
      <c r="G147" s="27"/>
      <c r="H147" s="27"/>
      <c r="I147" s="27"/>
      <c r="J147" s="27"/>
      <c r="K147" s="27"/>
      <c r="L147" s="27"/>
      <c r="M147" s="27"/>
      <c r="N147" s="27"/>
      <c r="O147" s="27"/>
      <c r="P147" s="27"/>
      <c r="Q147" s="27"/>
      <c r="R147" s="27"/>
      <c r="S147" s="27"/>
    </row>
    <row r="148" spans="1:19" x14ac:dyDescent="0.25">
      <c r="A148" s="27"/>
      <c r="B148" s="27"/>
      <c r="C148" s="27"/>
      <c r="D148" s="27"/>
      <c r="E148" s="27"/>
      <c r="F148" s="27"/>
      <c r="G148" s="27"/>
      <c r="H148" s="27"/>
      <c r="I148" s="27"/>
      <c r="J148" s="27"/>
      <c r="K148" s="27"/>
      <c r="L148" s="27"/>
      <c r="M148" s="27"/>
      <c r="N148" s="27"/>
      <c r="O148" s="27"/>
      <c r="P148" s="27"/>
      <c r="Q148" s="27"/>
      <c r="R148" s="27"/>
      <c r="S148" s="27"/>
    </row>
    <row r="149" spans="1:19" x14ac:dyDescent="0.25">
      <c r="A149" s="27"/>
      <c r="B149" s="27"/>
      <c r="C149" s="27"/>
      <c r="D149" s="27"/>
      <c r="E149" s="27"/>
      <c r="F149" s="27"/>
      <c r="G149" s="27"/>
      <c r="H149" s="27"/>
      <c r="I149" s="27"/>
      <c r="J149" s="27"/>
      <c r="K149" s="27"/>
      <c r="L149" s="27"/>
      <c r="M149" s="27"/>
      <c r="N149" s="27"/>
      <c r="O149" s="27"/>
      <c r="P149" s="27"/>
      <c r="Q149" s="27"/>
      <c r="R149" s="27"/>
      <c r="S149" s="27"/>
    </row>
    <row r="150" spans="1:19" x14ac:dyDescent="0.25">
      <c r="A150" s="27"/>
      <c r="B150" s="27"/>
      <c r="C150" s="27"/>
      <c r="D150" s="27"/>
      <c r="E150" s="27"/>
      <c r="F150" s="27"/>
      <c r="G150" s="27"/>
      <c r="H150" s="27"/>
      <c r="I150" s="27"/>
      <c r="J150" s="27"/>
      <c r="K150" s="27"/>
      <c r="L150" s="27"/>
      <c r="M150" s="27"/>
      <c r="N150" s="27"/>
      <c r="O150" s="27"/>
      <c r="P150" s="27"/>
      <c r="Q150" s="27"/>
      <c r="R150" s="27"/>
      <c r="S150" s="27"/>
    </row>
    <row r="151" spans="1:19" x14ac:dyDescent="0.25">
      <c r="A151" s="27"/>
      <c r="B151" s="27"/>
      <c r="C151" s="27"/>
      <c r="D151" s="27"/>
      <c r="E151" s="27"/>
      <c r="F151" s="27"/>
      <c r="G151" s="27"/>
      <c r="H151" s="27"/>
      <c r="I151" s="27"/>
      <c r="J151" s="27"/>
      <c r="K151" s="27"/>
      <c r="L151" s="27"/>
      <c r="M151" s="27"/>
      <c r="N151" s="27"/>
      <c r="O151" s="27"/>
      <c r="P151" s="27"/>
      <c r="Q151" s="27"/>
      <c r="R151" s="27"/>
      <c r="S151" s="27"/>
    </row>
    <row r="152" spans="1:19" x14ac:dyDescent="0.25">
      <c r="A152" s="27"/>
      <c r="B152" s="27"/>
      <c r="C152" s="27"/>
      <c r="D152" s="27"/>
      <c r="E152" s="27"/>
      <c r="F152" s="27"/>
      <c r="G152" s="27"/>
      <c r="H152" s="27"/>
      <c r="I152" s="27"/>
      <c r="J152" s="27"/>
      <c r="K152" s="27"/>
      <c r="L152" s="27"/>
      <c r="M152" s="27"/>
      <c r="N152" s="27"/>
      <c r="O152" s="27"/>
      <c r="P152" s="27"/>
      <c r="Q152" s="27"/>
      <c r="R152" s="27"/>
      <c r="S152" s="27"/>
    </row>
    <row r="153" spans="1:19" x14ac:dyDescent="0.25">
      <c r="A153" s="27"/>
      <c r="B153" s="27"/>
      <c r="C153" s="27"/>
      <c r="D153" s="27"/>
      <c r="E153" s="27"/>
      <c r="F153" s="27"/>
      <c r="G153" s="27"/>
      <c r="H153" s="27"/>
      <c r="I153" s="27"/>
      <c r="J153" s="27"/>
      <c r="K153" s="27"/>
      <c r="L153" s="27"/>
      <c r="M153" s="27"/>
      <c r="N153" s="27"/>
      <c r="O153" s="27"/>
      <c r="P153" s="27"/>
      <c r="Q153" s="27"/>
      <c r="R153" s="27"/>
      <c r="S153" s="27"/>
    </row>
    <row r="154" spans="1:19" x14ac:dyDescent="0.25">
      <c r="A154" s="27"/>
      <c r="B154" s="27"/>
      <c r="C154" s="27"/>
      <c r="D154" s="27"/>
      <c r="E154" s="27"/>
      <c r="F154" s="27"/>
      <c r="G154" s="27"/>
      <c r="H154" s="27"/>
      <c r="I154" s="27"/>
      <c r="J154" s="27"/>
      <c r="K154" s="27"/>
      <c r="L154" s="27"/>
      <c r="M154" s="27"/>
      <c r="N154" s="27"/>
      <c r="O154" s="27"/>
      <c r="P154" s="27"/>
      <c r="Q154" s="27"/>
      <c r="R154" s="27"/>
      <c r="S154" s="27"/>
    </row>
    <row r="155" spans="1:19" x14ac:dyDescent="0.25">
      <c r="A155" s="27"/>
      <c r="B155" s="27"/>
      <c r="C155" s="27"/>
      <c r="D155" s="27"/>
      <c r="E155" s="27"/>
      <c r="F155" s="27"/>
      <c r="G155" s="27"/>
      <c r="H155" s="27"/>
      <c r="I155" s="27"/>
      <c r="J155" s="27"/>
      <c r="K155" s="27"/>
      <c r="L155" s="27"/>
      <c r="M155" s="27"/>
      <c r="N155" s="27"/>
      <c r="O155" s="27"/>
      <c r="P155" s="27"/>
      <c r="Q155" s="27"/>
      <c r="R155" s="27"/>
      <c r="S155" s="27"/>
    </row>
    <row r="156" spans="1:19" x14ac:dyDescent="0.25">
      <c r="A156" s="27"/>
      <c r="B156" s="27"/>
      <c r="C156" s="27"/>
      <c r="D156" s="27"/>
      <c r="E156" s="27"/>
      <c r="F156" s="27"/>
      <c r="G156" s="27"/>
      <c r="H156" s="27"/>
      <c r="I156" s="27"/>
      <c r="J156" s="27"/>
      <c r="K156" s="27"/>
      <c r="L156" s="27"/>
      <c r="M156" s="27"/>
      <c r="N156" s="27"/>
      <c r="O156" s="27"/>
      <c r="P156" s="27"/>
      <c r="Q156" s="27"/>
      <c r="R156" s="27"/>
      <c r="S156" s="27"/>
    </row>
    <row r="157" spans="1:19" x14ac:dyDescent="0.25">
      <c r="A157" s="27"/>
      <c r="B157" s="27"/>
      <c r="C157" s="27"/>
      <c r="D157" s="27"/>
      <c r="E157" s="27"/>
      <c r="F157" s="27"/>
      <c r="G157" s="27"/>
      <c r="H157" s="27"/>
      <c r="I157" s="27"/>
      <c r="J157" s="27"/>
      <c r="K157" s="27"/>
      <c r="L157" s="27"/>
      <c r="M157" s="27"/>
      <c r="N157" s="27"/>
      <c r="O157" s="27"/>
      <c r="P157" s="27"/>
      <c r="Q157" s="27"/>
      <c r="R157" s="27"/>
      <c r="S157" s="27"/>
    </row>
    <row r="158" spans="1:19" x14ac:dyDescent="0.25">
      <c r="A158" s="27"/>
      <c r="B158" s="27"/>
      <c r="C158" s="27"/>
      <c r="D158" s="27"/>
      <c r="E158" s="27"/>
      <c r="F158" s="27"/>
      <c r="G158" s="27"/>
      <c r="H158" s="27"/>
      <c r="I158" s="27"/>
      <c r="J158" s="27"/>
      <c r="K158" s="27"/>
      <c r="L158" s="27"/>
      <c r="M158" s="27"/>
      <c r="N158" s="27"/>
      <c r="O158" s="27"/>
      <c r="P158" s="27"/>
      <c r="Q158" s="27"/>
      <c r="R158" s="27"/>
      <c r="S158" s="27"/>
    </row>
    <row r="159" spans="1:19" x14ac:dyDescent="0.25">
      <c r="A159" s="27"/>
      <c r="B159" s="27"/>
      <c r="C159" s="27"/>
      <c r="D159" s="27"/>
      <c r="E159" s="27"/>
      <c r="F159" s="27"/>
      <c r="G159" s="27"/>
      <c r="H159" s="27"/>
      <c r="I159" s="27"/>
      <c r="J159" s="27"/>
      <c r="K159" s="27"/>
      <c r="L159" s="27"/>
      <c r="M159" s="27"/>
      <c r="N159" s="27"/>
      <c r="O159" s="27"/>
      <c r="P159" s="27"/>
      <c r="Q159" s="27"/>
      <c r="R159" s="27"/>
      <c r="S159" s="27"/>
    </row>
    <row r="160" spans="1:19" x14ac:dyDescent="0.25">
      <c r="A160" s="27"/>
      <c r="B160" s="27"/>
      <c r="C160" s="27"/>
      <c r="D160" s="27"/>
      <c r="E160" s="27"/>
      <c r="F160" s="27"/>
      <c r="G160" s="27"/>
      <c r="H160" s="27"/>
      <c r="I160" s="27"/>
      <c r="J160" s="27"/>
      <c r="K160" s="27"/>
      <c r="L160" s="27"/>
      <c r="M160" s="27"/>
      <c r="N160" s="27"/>
      <c r="O160" s="27"/>
      <c r="P160" s="27"/>
      <c r="Q160" s="27"/>
      <c r="R160" s="27"/>
      <c r="S160" s="27"/>
    </row>
    <row r="161" spans="1:19" x14ac:dyDescent="0.25">
      <c r="A161" s="27"/>
      <c r="B161" s="27"/>
      <c r="C161" s="27"/>
      <c r="D161" s="27"/>
      <c r="E161" s="27"/>
      <c r="F161" s="27"/>
      <c r="G161" s="27"/>
      <c r="H161" s="27"/>
      <c r="I161" s="27"/>
      <c r="J161" s="27"/>
      <c r="K161" s="27"/>
      <c r="L161" s="27"/>
      <c r="M161" s="27"/>
      <c r="N161" s="27"/>
      <c r="O161" s="27"/>
      <c r="P161" s="27"/>
      <c r="Q161" s="27"/>
      <c r="R161" s="27"/>
      <c r="S161" s="27"/>
    </row>
    <row r="162" spans="1:19" x14ac:dyDescent="0.25">
      <c r="A162" s="27"/>
      <c r="B162" s="27"/>
      <c r="C162" s="27"/>
      <c r="D162" s="27"/>
      <c r="E162" s="27"/>
      <c r="F162" s="27"/>
      <c r="G162" s="27"/>
      <c r="H162" s="27"/>
      <c r="I162" s="27"/>
      <c r="J162" s="27"/>
      <c r="K162" s="27"/>
      <c r="L162" s="27"/>
      <c r="M162" s="27"/>
      <c r="N162" s="27"/>
      <c r="O162" s="27"/>
      <c r="P162" s="27"/>
      <c r="Q162" s="27"/>
      <c r="R162" s="27"/>
      <c r="S162" s="27"/>
    </row>
    <row r="163" spans="1:19" x14ac:dyDescent="0.25">
      <c r="A163" s="27"/>
      <c r="B163" s="27"/>
      <c r="C163" s="27"/>
      <c r="D163" s="27"/>
      <c r="E163" s="27"/>
      <c r="F163" s="27"/>
      <c r="G163" s="27"/>
      <c r="H163" s="27"/>
      <c r="I163" s="27"/>
      <c r="J163" s="27"/>
      <c r="K163" s="27"/>
      <c r="L163" s="27"/>
      <c r="M163" s="27"/>
      <c r="N163" s="27"/>
      <c r="O163" s="27"/>
      <c r="P163" s="27"/>
      <c r="Q163" s="27"/>
      <c r="R163" s="27"/>
      <c r="S163" s="27"/>
    </row>
    <row r="164" spans="1:19" x14ac:dyDescent="0.25">
      <c r="A164" s="27"/>
      <c r="B164" s="27"/>
      <c r="C164" s="27"/>
      <c r="D164" s="27"/>
      <c r="E164" s="27"/>
      <c r="F164" s="27"/>
      <c r="G164" s="27"/>
      <c r="H164" s="27"/>
      <c r="I164" s="27"/>
      <c r="J164" s="27"/>
      <c r="K164" s="27"/>
      <c r="L164" s="27"/>
      <c r="M164" s="27"/>
      <c r="N164" s="27"/>
      <c r="O164" s="27"/>
      <c r="P164" s="27"/>
      <c r="Q164" s="27"/>
      <c r="R164" s="27"/>
      <c r="S164" s="27"/>
    </row>
    <row r="165" spans="1:19" x14ac:dyDescent="0.25">
      <c r="A165" s="27"/>
      <c r="B165" s="27"/>
      <c r="C165" s="27"/>
      <c r="D165" s="27"/>
      <c r="E165" s="27"/>
      <c r="F165" s="27"/>
      <c r="G165" s="27"/>
      <c r="H165" s="27"/>
      <c r="I165" s="27"/>
      <c r="J165" s="27"/>
      <c r="K165" s="27"/>
      <c r="L165" s="27"/>
      <c r="M165" s="27"/>
      <c r="N165" s="27"/>
      <c r="O165" s="27"/>
      <c r="P165" s="27"/>
      <c r="Q165" s="27"/>
      <c r="R165" s="27"/>
      <c r="S165" s="27"/>
    </row>
  </sheetData>
  <mergeCells count="1">
    <mergeCell ref="A1:S3"/>
  </mergeCells>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Problems</vt:lpstr>
      <vt:lpstr>Sheet2</vt:lpstr>
      <vt:lpstr>Deshboard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Govt School</cp:lastModifiedBy>
  <dcterms:created xsi:type="dcterms:W3CDTF">2026-07-12T18:31:30Z</dcterms:created>
  <dcterms:modified xsi:type="dcterms:W3CDTF">2026-07-13T22:00:13Z</dcterms:modified>
</cp:coreProperties>
</file>